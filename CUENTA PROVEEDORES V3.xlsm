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Registro de Operaciones"/>
    <sheet r:id="rId2" sheetId="2" name="BBVA SOLES"/>
    <sheet r:id="rId3" sheetId="3" name="BBVA DOLARES"/>
    <sheet r:id="rId4" sheetId="4" name="INDIVIDUALES"/>
    <sheet r:id="rId5" sheetId="5" name="BD"/>
    <sheet r:id="rId6" sheetId="6" name="Tabla 1"/>
  </sheets>
  <definedNames>
    <definedName name="_xlnm._FilterDatabase" localSheetId="4">BD!$C$3:$F$114</definedName>
    <definedName name="_xlnm._FilterDatabase" localSheetId="0">'Registro de Operaciones'!$J$114:$J$114</definedName>
    <definedName name="DOI_Tipo">BD!$R$4:$S$8</definedName>
    <definedName name="Tipo_Abono">BD!$Q$13:$R$14</definedName>
    <definedName name="Tipo_Recibo">BD!$R$18:$S$25</definedName>
  </definedNames>
  <calcPr fullCalcOnLoad="1"/>
</workbook>
</file>

<file path=xl/sharedStrings.xml><?xml version="1.0" encoding="utf-8"?>
<sst xmlns="http://schemas.openxmlformats.org/spreadsheetml/2006/main" count="2891" uniqueCount="1292">
  <si>
    <t>Tabla Maestra de Detracciones para Entidades Educativas</t>
  </si>
  <si>
    <t>Categoría de Compra o Servicio</t>
  </si>
  <si>
    <t>Aplica Detracción</t>
  </si>
  <si>
    <t>%</t>
  </si>
  <si>
    <t>Observaciones</t>
  </si>
  <si>
    <t>Aplica</t>
  </si>
  <si>
    <t>Servicios de vigilancia</t>
  </si>
  <si>
    <t>Sí</t>
  </si>
  <si>
    <t>Intermediación laboral / tercerización</t>
  </si>
  <si>
    <t>Operaciones que Normalmente SI Aplican Detracción</t>
  </si>
  <si>
    <t>Servicios de limpieza</t>
  </si>
  <si>
    <t>Outsourcing de personal</t>
  </si>
  <si>
    <t>Consultoría tributaria</t>
  </si>
  <si>
    <t>Otros servicios empresariales</t>
  </si>
  <si>
    <t>Consultoría legal</t>
  </si>
  <si>
    <t>Consultoría académica</t>
  </si>
  <si>
    <t>Auditoría financiera</t>
  </si>
  <si>
    <t>Desarrollo de software</t>
  </si>
  <si>
    <t>Soporte TI</t>
  </si>
  <si>
    <t>Hosting y servicios tecnológicos</t>
  </si>
  <si>
    <t>Publicidad y marketing</t>
  </si>
  <si>
    <t>Servicios de diseño gráfico</t>
  </si>
  <si>
    <t>Estudios de mercado</t>
  </si>
  <si>
    <t>Capacitación institucional</t>
  </si>
  <si>
    <t>Mantenimiento de computadoras</t>
  </si>
  <si>
    <t>Mantenimiento de bienes muebles</t>
  </si>
  <si>
    <t>Mantenimiento de equipos biomédicos</t>
  </si>
  <si>
    <t>Mantenimiento de equipos de laboratorio</t>
  </si>
  <si>
    <t>Mantenimiento de ascensores</t>
  </si>
  <si>
    <t>Mantenimiento de vehículos</t>
  </si>
  <si>
    <t>Calibración de equipos de laboratorio</t>
  </si>
  <si>
    <t>Servicio especializado</t>
  </si>
  <si>
    <t>Alquiler de inmuebles</t>
  </si>
  <si>
    <t>Arrendamiento de bienes</t>
  </si>
  <si>
    <t>Alquiler de aulas</t>
  </si>
  <si>
    <t>Alquiler de vehículos</t>
  </si>
  <si>
    <t>Alquiler de fotocopiadoras</t>
  </si>
  <si>
    <t>Alquiler de equipos de laboratorio</t>
  </si>
  <si>
    <t>Alquiler de bienes  (muebles)</t>
  </si>
  <si>
    <t>Transporte de estudiantes</t>
  </si>
  <si>
    <t>Transporte de personas</t>
  </si>
  <si>
    <t>Transporte de docentes</t>
  </si>
  <si>
    <t>Transporte de personal</t>
  </si>
  <si>
    <t>Transporte de mobiliario y equipos</t>
  </si>
  <si>
    <t>Transporte de carga</t>
  </si>
  <si>
    <t>Construcción de pabellones</t>
  </si>
  <si>
    <t>Contrato de construcción</t>
  </si>
  <si>
    <t>Remodelación de infraestructura</t>
  </si>
  <si>
    <t>Acondicionamiento de laboratorios</t>
  </si>
  <si>
    <t>Si constituye obra o construcción</t>
  </si>
  <si>
    <t>Fabricación de mobiliario por encargo</t>
  </si>
  <si>
    <t>Fabricación de bienes por encargo</t>
  </si>
  <si>
    <t>Comisión por captación de alumnos</t>
  </si>
  <si>
    <t>Comisión mercantil</t>
  </si>
  <si>
    <t>Servicios no clasificados afectos a IGV</t>
  </si>
  <si>
    <t>Demás servicios gravados con IGV</t>
  </si>
  <si>
    <t>Servicios empresariales</t>
  </si>
  <si>
    <t>Compra de computadoras</t>
  </si>
  <si>
    <t>No</t>
  </si>
  <si>
    <t>Bienes no incluidos en SPOT</t>
  </si>
  <si>
    <t>Operaciones que Normalmente NO Aplican Detracción</t>
  </si>
  <si>
    <t>Compra de laptops</t>
  </si>
  <si>
    <t>Compra de impresoras</t>
  </si>
  <si>
    <t>Compra de proyectores</t>
  </si>
  <si>
    <t>Compra de servidores</t>
  </si>
  <si>
    <t>Compra de mobiliario estándar</t>
  </si>
  <si>
    <t>Compra de equipos biomédicos</t>
  </si>
  <si>
    <t>Compra de microscopios</t>
  </si>
  <si>
    <t>Compra de simuladores clínicos</t>
  </si>
  <si>
    <t>Compra de campanas extractoras</t>
  </si>
  <si>
    <t>Compra de equipos de laboratorio</t>
  </si>
  <si>
    <t>Compra de instrumental médico</t>
  </si>
  <si>
    <t>Compra de reactivos</t>
  </si>
  <si>
    <t>Compra de materiales educativos</t>
  </si>
  <si>
    <t>Compra de libros</t>
  </si>
  <si>
    <t>Compra de útiles de oficina</t>
  </si>
  <si>
    <t>Compra de bienes comunes</t>
  </si>
  <si>
    <t>Compra de licencias de software estándar</t>
  </si>
  <si>
    <t>Salvo que se facture como servicio sujeto</t>
  </si>
  <si>
    <t>Honorarios de cuarta categoría</t>
  </si>
  <si>
    <t>No forman parte del SPOT</t>
  </si>
  <si>
    <t>Remuneraciones y planillas</t>
  </si>
  <si>
    <t>Tributos y tasas</t>
  </si>
  <si>
    <t>Servicios educativos recibidos de entidades educativas</t>
  </si>
  <si>
    <t>Revisar naturaleza tributaria específica</t>
  </si>
  <si>
    <t>Regla de Negocio Recomendada para el Sistema</t>
  </si>
  <si>
    <t>Grupo A - Detracción 12%</t>
  </si>
  <si>
    <t>Vigilancia</t>
  </si>
  <si>
    <t>Limpieza</t>
  </si>
  <si>
    <t>Outsourcing</t>
  </si>
  <si>
    <t>Consultorías</t>
  </si>
  <si>
    <t>Auditorías</t>
  </si>
  <si>
    <t>Software</t>
  </si>
  <si>
    <t>Publicidad</t>
  </si>
  <si>
    <t>Marketing</t>
  </si>
  <si>
    <t>Mantenimiento</t>
  </si>
  <si>
    <t>Calibraciones</t>
  </si>
  <si>
    <t>Grupo B - Detracción 10%</t>
  </si>
  <si>
    <t>Alquileres</t>
  </si>
  <si>
    <t>Arrendamientos</t>
  </si>
  <si>
    <t>Comisiones</t>
  </si>
  <si>
    <t>Fabricación por encargo</t>
  </si>
  <si>
    <t>Grupo C - Detracción 4%</t>
  </si>
  <si>
    <t>Construcción</t>
  </si>
  <si>
    <t>Remodelaciones</t>
  </si>
  <si>
    <t>Grupo D - No Aplica</t>
  </si>
  <si>
    <t>Compra de activos fijos</t>
  </si>
  <si>
    <t>Compra de equipos médicos</t>
  </si>
  <si>
    <t>Compra de mobiliario</t>
  </si>
  <si>
    <t>Planillas</t>
  </si>
  <si>
    <t>Propuesta de Parametrización para SIGU</t>
  </si>
  <si>
    <t>Tipo de Operación</t>
  </si>
  <si>
    <t>Detracción</t>
  </si>
  <si>
    <t>Servicios Empresariales</t>
  </si>
  <si>
    <t>Mantenimiento y Reparación</t>
  </si>
  <si>
    <t>Arrendamiento</t>
  </si>
  <si>
    <t>Transporte de Personas</t>
  </si>
  <si>
    <t>Fabricación por Encargo</t>
  </si>
  <si>
    <t>Comisión Mercantil</t>
  </si>
  <si>
    <t>Construcción y Obras</t>
  </si>
  <si>
    <t>Transporte de Carga</t>
  </si>
  <si>
    <t>No sujeto a detracción</t>
  </si>
  <si>
    <t>ESTADO DEL REQUERIMIENTO</t>
  </si>
  <si>
    <t>APROBADO</t>
  </si>
  <si>
    <t>APROBADO INDIVIDUAL</t>
  </si>
  <si>
    <t>Tabla 1</t>
  </si>
  <si>
    <t>MONEDA</t>
  </si>
  <si>
    <t>SOLES</t>
  </si>
  <si>
    <t>DOLARES</t>
  </si>
  <si>
    <t>Tabla 6 5</t>
  </si>
  <si>
    <t>RUC / DNI</t>
  </si>
  <si>
    <t>RAZON SOCIAL</t>
  </si>
  <si>
    <t>BANCO</t>
  </si>
  <si>
    <t>CUENTA</t>
  </si>
  <si>
    <t>DOI_Tipo</t>
  </si>
  <si>
    <t>20600178971</t>
  </si>
  <si>
    <t>JAGUAR SOFT S.A.C.</t>
  </si>
  <si>
    <t>CONTINENTAL</t>
  </si>
  <si>
    <t>00110261000200336577</t>
  </si>
  <si>
    <t>CC</t>
  </si>
  <si>
    <t>NOMBRE</t>
  </si>
  <si>
    <t>DNI o L.E.</t>
  </si>
  <si>
    <t>L</t>
  </si>
  <si>
    <t>Etiquetas de fila</t>
  </si>
  <si>
    <t>Suma de ID</t>
  </si>
  <si>
    <t>20513523352</t>
  </si>
  <si>
    <t>LATINUM GROUP S.A.C</t>
  </si>
  <si>
    <t>00110360000100019823</t>
  </si>
  <si>
    <t>Junta General de Accionistas</t>
  </si>
  <si>
    <t>RUC</t>
  </si>
  <si>
    <t>R</t>
  </si>
  <si>
    <t>20557553615</t>
  </si>
  <si>
    <t>NG SERVICIOS S.A.C.</t>
  </si>
  <si>
    <t>00110370000200340143</t>
  </si>
  <si>
    <t>Gerencia General</t>
  </si>
  <si>
    <t>Carnet Militar</t>
  </si>
  <si>
    <t>M</t>
  </si>
  <si>
    <t>20601694680</t>
  </si>
  <si>
    <t>TOTAL NETWORKS S.A</t>
  </si>
  <si>
    <t>00110354000100039600</t>
  </si>
  <si>
    <t>Rectorado</t>
  </si>
  <si>
    <t>Carnet de Extranjeria</t>
  </si>
  <si>
    <t>E</t>
  </si>
  <si>
    <t>20511148503</t>
  </si>
  <si>
    <t>SOLUCIONES EN MARKETING EIRL</t>
  </si>
  <si>
    <t>OTRO BANCO</t>
  </si>
  <si>
    <t>00219300251912207610</t>
  </si>
  <si>
    <t>Asesoría Legal</t>
  </si>
  <si>
    <t>Pasaporte</t>
  </si>
  <si>
    <t>P</t>
  </si>
  <si>
    <t>20556502928</t>
  </si>
  <si>
    <t>KR SECURITY</t>
  </si>
  <si>
    <t>00110122000100039129</t>
  </si>
  <si>
    <t>Secretaría General</t>
  </si>
  <si>
    <t>20552504641</t>
  </si>
  <si>
    <t>WIN EMPRESAS SAC</t>
  </si>
  <si>
    <t>00219400212888508794</t>
  </si>
  <si>
    <t>Vicerrectorado Académico CCSS</t>
  </si>
  <si>
    <t>20265681299</t>
  </si>
  <si>
    <t>EQUIFAX PERU SAC</t>
  </si>
  <si>
    <t>00219400211742109092</t>
  </si>
  <si>
    <t>Gerencia de Operaciones</t>
  </si>
  <si>
    <t>20601732646</t>
  </si>
  <si>
    <t>GUILLERMO FABIAN PERU S.A.C.</t>
  </si>
  <si>
    <t>00110119000200463088</t>
  </si>
  <si>
    <t>Gerencia de Administracion Financiera</t>
  </si>
  <si>
    <t>Tipo_Abono</t>
  </si>
  <si>
    <t>20600866941</t>
  </si>
  <si>
    <t>VM PUBLICIDAD &amp; INVERSION E.I.R.L.</t>
  </si>
  <si>
    <t>00219100721335608054</t>
  </si>
  <si>
    <t>Gerencia Comercial</t>
  </si>
  <si>
    <t>20330247038</t>
  </si>
  <si>
    <t>TALLERES GRAFICOS GIMAVIC SRLTDA</t>
  </si>
  <si>
    <t>00110353000100043777</t>
  </si>
  <si>
    <t>Vicerrectorado Académico IINN</t>
  </si>
  <si>
    <t>I</t>
  </si>
  <si>
    <t>20600814843</t>
  </si>
  <si>
    <t>IMPRESIONES FUENTES S.A.C.</t>
  </si>
  <si>
    <t>00320000300443668531</t>
  </si>
  <si>
    <t>Oficina de Administración Financiera</t>
  </si>
  <si>
    <t>20506717044</t>
  </si>
  <si>
    <t>MEMORY KINGS PERU S.A.C.</t>
  </si>
  <si>
    <t>00110175000100018074</t>
  </si>
  <si>
    <t>Oficina de Recursos Humanos</t>
  </si>
  <si>
    <t>20602962050</t>
  </si>
  <si>
    <t>VALSERTECH E.I.R.L</t>
  </si>
  <si>
    <t>00219200244497006537</t>
  </si>
  <si>
    <t>Oficina de Marketing E Imagen Institucional</t>
  </si>
  <si>
    <t>Tipo_Recibo</t>
  </si>
  <si>
    <t>20270485015</t>
  </si>
  <si>
    <t>IMPORTADORA ANDINA E.I.R.L</t>
  </si>
  <si>
    <t>00219100175876005155</t>
  </si>
  <si>
    <t>Oficina de Admisión</t>
  </si>
  <si>
    <t>20608014773</t>
  </si>
  <si>
    <t>GREEN INSUQUIMICA SAC</t>
  </si>
  <si>
    <t>00219100940024809859</t>
  </si>
  <si>
    <t>Oficina de Bienestar Universitario</t>
  </si>
  <si>
    <t>B</t>
  </si>
  <si>
    <t>BOLETA</t>
  </si>
  <si>
    <t>20122667660</t>
  </si>
  <si>
    <t>INSTITUTO CULTURAL PERUANO NORTEAMERICANO</t>
  </si>
  <si>
    <t>00110378000100023411</t>
  </si>
  <si>
    <t>Oficina de Producción de Bienes Y Servicios</t>
  </si>
  <si>
    <t>C</t>
  </si>
  <si>
    <t xml:space="preserve">COTIZACIÓN </t>
  </si>
  <si>
    <t>20515719165</t>
  </si>
  <si>
    <t>KOBRANZAS SAC</t>
  </si>
  <si>
    <t>00110186470100073563</t>
  </si>
  <si>
    <t>Oficina de Tecnología de La Información</t>
  </si>
  <si>
    <t>F</t>
  </si>
  <si>
    <t>FACTURA</t>
  </si>
  <si>
    <t>06294409</t>
  </si>
  <si>
    <t>MORAN PAREDES GLADYS IVONNE</t>
  </si>
  <si>
    <t>00110360000100040229</t>
  </si>
  <si>
    <t>Oficina de Seguimiento Al Egresado. Titulado Y Bolsa de Trabajo</t>
  </si>
  <si>
    <t>G</t>
  </si>
  <si>
    <t>GASTO SIN SUSTENTO (DJ)</t>
  </si>
  <si>
    <t>06677714</t>
  </si>
  <si>
    <t>MORAN MARQUEZ GREGORIO OSWALDO</t>
  </si>
  <si>
    <t>00110615000200068290</t>
  </si>
  <si>
    <t>Decanatura Facultad de Ciencias de La Salud</t>
  </si>
  <si>
    <t>N</t>
  </si>
  <si>
    <t>NOTA DE CREDITO</t>
  </si>
  <si>
    <t>06718077</t>
  </si>
  <si>
    <t>PAREDES RIVERO DE MORAN LEDDY MIRIAM</t>
  </si>
  <si>
    <t>00110607000200000498</t>
  </si>
  <si>
    <t>Decanatura Facultad de Negocios E Ingenierías</t>
  </si>
  <si>
    <t>REEMBOLSO</t>
  </si>
  <si>
    <t>10525370</t>
  </si>
  <si>
    <t>ESCOBAR CHUQUIHUACCHA VERONICA SOFIA</t>
  </si>
  <si>
    <t>00219117528450505358</t>
  </si>
  <si>
    <t>Dirección de Investigación</t>
  </si>
  <si>
    <t>ENTREGA A RENDIR</t>
  </si>
  <si>
    <t>40593513</t>
  </si>
  <si>
    <t>GIL CUEVA MARCELA JAQUELINY</t>
  </si>
  <si>
    <t>00110814000200657867</t>
  </si>
  <si>
    <t>Oficina de Gestión de La Calidad Y Gestión Docente</t>
  </si>
  <si>
    <t>80384220</t>
  </si>
  <si>
    <t>GOMEZ BERROSPI PAUL LEONARDO</t>
  </si>
  <si>
    <t>00110322000200378610</t>
  </si>
  <si>
    <t>Oficina de Servicios Académicos Y Registros</t>
  </si>
  <si>
    <t>10676704</t>
  </si>
  <si>
    <t>CHERO PACHECO VICTOR HUMBERTO</t>
  </si>
  <si>
    <t>00110128000200400840</t>
  </si>
  <si>
    <t>Oficina de Convenios Internacionales</t>
  </si>
  <si>
    <t>41274394</t>
  </si>
  <si>
    <t>JUAREZ ALVINES EVELYN HERLINDA</t>
  </si>
  <si>
    <t>00219117387305904958</t>
  </si>
  <si>
    <t>Direccion de Estudios Generales</t>
  </si>
  <si>
    <t>70829569</t>
  </si>
  <si>
    <t>APONTE ALVA KATYA CONSUELO</t>
  </si>
  <si>
    <t>00110322000200381484</t>
  </si>
  <si>
    <t>Oficina de Educación Virtual</t>
  </si>
  <si>
    <t>70676772</t>
  </si>
  <si>
    <t>ORDOÑEZ LEON PATRICIA</t>
  </si>
  <si>
    <t>00110257000200352686</t>
  </si>
  <si>
    <t>Decanatura Facultad de Farmacia Y Bioquímica</t>
  </si>
  <si>
    <t>48000253</t>
  </si>
  <si>
    <t>GALLARDO PALACIOS GIAN PIERRE</t>
  </si>
  <si>
    <t>00110814000200694347</t>
  </si>
  <si>
    <t>Direccion de Educacion Continua</t>
  </si>
  <si>
    <t>41444851</t>
  </si>
  <si>
    <t>TOVAR BACA JUAN CARLOS</t>
  </si>
  <si>
    <t>00110832000200221242</t>
  </si>
  <si>
    <t>Tesorería</t>
  </si>
  <si>
    <t>40186218</t>
  </si>
  <si>
    <t>GAMBOA MOLINA JUAN CARLOS</t>
  </si>
  <si>
    <t>00110322000200380232</t>
  </si>
  <si>
    <t>Contabilidad</t>
  </si>
  <si>
    <t>ESTADO</t>
  </si>
  <si>
    <t>40542174</t>
  </si>
  <si>
    <t>INGA CERDA PATTY SINDY</t>
  </si>
  <si>
    <t>00219119427017609857</t>
  </si>
  <si>
    <t>ANULADO / RECHAZADO</t>
  </si>
  <si>
    <t>45276376</t>
  </si>
  <si>
    <t>CORDOVA SERRANO GERSON</t>
  </si>
  <si>
    <t>00110136000200439937</t>
  </si>
  <si>
    <t>Imagen Institucional</t>
  </si>
  <si>
    <t>46655789</t>
  </si>
  <si>
    <t>LAZO CCALLO GIOVANI FERNANDO</t>
  </si>
  <si>
    <t>00110174000200514235</t>
  </si>
  <si>
    <t>Coordinación de Servicio Psicopedagógico, Proy. Y Servicio Social</t>
  </si>
  <si>
    <t>APROBADO POR PAGAR</t>
  </si>
  <si>
    <t>40692237</t>
  </si>
  <si>
    <t>CRISTOBAL PAREDES YULAN CLAUDIA</t>
  </si>
  <si>
    <t>00110814000201168843</t>
  </si>
  <si>
    <t>Coordinación de Servicios de Salud / Tópico</t>
  </si>
  <si>
    <t>OBSERVADO</t>
  </si>
  <si>
    <t>44441990</t>
  </si>
  <si>
    <t>SAAVEDRA RAMIREZ MARIO ANTONIO</t>
  </si>
  <si>
    <t>00110970000200243085</t>
  </si>
  <si>
    <t>Coordinación de Servicios Deportivos Y Culturales</t>
  </si>
  <si>
    <t>PAGADO</t>
  </si>
  <si>
    <t>47265042</t>
  </si>
  <si>
    <t>FLORES TITO NAYRUT BRIGIDA</t>
  </si>
  <si>
    <t>00110565000200070502</t>
  </si>
  <si>
    <t>Sistemas Y Soporte</t>
  </si>
  <si>
    <t>40498127</t>
  </si>
  <si>
    <t>SAMANIEGO JOAQUIN JHONNEL WILLIAMS</t>
  </si>
  <si>
    <t>00110712000200200803</t>
  </si>
  <si>
    <t>Educación Virtual</t>
  </si>
  <si>
    <t>40868681</t>
  </si>
  <si>
    <t>NICHO FLORES CARLOS DANIEL</t>
  </si>
  <si>
    <t>00904120128027229357</t>
  </si>
  <si>
    <t>Administración Y Logística</t>
  </si>
  <si>
    <t>09394947</t>
  </si>
  <si>
    <t>PEREZ SANCHEZ CHRISTIAN JESUS</t>
  </si>
  <si>
    <t>00389801336652789547</t>
  </si>
  <si>
    <t>Unidad de Investigación</t>
  </si>
  <si>
    <t>42248126</t>
  </si>
  <si>
    <t>MATTA SOLIS EDUARDO PERCY</t>
  </si>
  <si>
    <t>00110322000200463596</t>
  </si>
  <si>
    <t>UMA Barrio</t>
  </si>
  <si>
    <t>07498621</t>
  </si>
  <si>
    <t>HERNANDEZ CORDERO GIOVANNA OFELIA</t>
  </si>
  <si>
    <t>00219313120536506911</t>
  </si>
  <si>
    <t>Gestión de La Calidad</t>
  </si>
  <si>
    <t>75378641</t>
  </si>
  <si>
    <t>REVILLA VERGARAY LINDER</t>
  </si>
  <si>
    <t>00110832000200304253</t>
  </si>
  <si>
    <t>Gestión Docente</t>
  </si>
  <si>
    <t>10729992</t>
  </si>
  <si>
    <t>SANTA CRUZ ZUÑIGA MANUEL ARTEMIO</t>
  </si>
  <si>
    <t>00110132000200426892</t>
  </si>
  <si>
    <t>Unidad Técnica de Biblioteca Central</t>
  </si>
  <si>
    <t>12%: Asesorías, tercerización, intermediación laboral, mantenimiento y reparación de bienes muebles.</t>
  </si>
  <si>
    <t>44305912</t>
  </si>
  <si>
    <t>CHIRINOS RUMIN MANUEL WILFREDO</t>
  </si>
  <si>
    <t>00110814000204883128</t>
  </si>
  <si>
    <t>Unidad de Investigación de Facultad de Ciencias de La Salud</t>
  </si>
  <si>
    <t>10%: Arrendamiento de bienes, transporte de personas, movimiento de carga.</t>
  </si>
  <si>
    <t>42443911</t>
  </si>
  <si>
    <t>VENEGAS DIOSES JOHANN CHRISTIAN</t>
  </si>
  <si>
    <t>00110175000200677326</t>
  </si>
  <si>
    <t>Unidad de Investigación de Facultad de Negocios E Ingenierías</t>
  </si>
  <si>
    <t>4%: Contratos de construcción, primera venta de inmuebles, transporte de bienes por vía terrestre</t>
  </si>
  <si>
    <t>41835622</t>
  </si>
  <si>
    <t>HUERTA LEON JENNY ROSALYN</t>
  </si>
  <si>
    <t>00110712000200259840</t>
  </si>
  <si>
    <t>Emprendimiento E Innovación</t>
  </si>
  <si>
    <t>MENDOZA CHUCHON MARCO ANTONIO</t>
  </si>
  <si>
    <t>00110113000200637547</t>
  </si>
  <si>
    <t>Grados Y Titulos</t>
  </si>
  <si>
    <t>47237985</t>
  </si>
  <si>
    <t>CARRANZA VALLEJOS EDILBERTO</t>
  </si>
  <si>
    <t>00110128000200675599</t>
  </si>
  <si>
    <t>Responsabilidad Social Universitaria</t>
  </si>
  <si>
    <t>SANTE MELGAR ZULLY GIANINA</t>
  </si>
  <si>
    <t>00110322000200407629</t>
  </si>
  <si>
    <t>Ep de Enfermería</t>
  </si>
  <si>
    <t>44129637</t>
  </si>
  <si>
    <t>CASTRO GUZMAN ENRIQUE ALONSO</t>
  </si>
  <si>
    <t>00219312913295202317</t>
  </si>
  <si>
    <t>Ep de Farmacia Y Bioquímica</t>
  </si>
  <si>
    <t>45560495</t>
  </si>
  <si>
    <t>BOLAÑOS RUEDA JEANCARLO JOEL</t>
  </si>
  <si>
    <t>00917020860835558521</t>
  </si>
  <si>
    <t>Ep de Psicología</t>
  </si>
  <si>
    <t>43835988</t>
  </si>
  <si>
    <t>HUAMAN VILCA MABEL MILAGROS</t>
  </si>
  <si>
    <t>00110128000200543013</t>
  </si>
  <si>
    <t>Ep de Nutrición Y Dietética</t>
  </si>
  <si>
    <t>09334406</t>
  </si>
  <si>
    <t>QUIQUIA RAU FERNANDO PELAYO</t>
  </si>
  <si>
    <t>00110139000200932516</t>
  </si>
  <si>
    <t>Ep Tecnología Médica En Laboratorio Clínico Y Anatomía Patológica</t>
  </si>
  <si>
    <t>42897396</t>
  </si>
  <si>
    <t>LUYO PACHAS LUIS RONALD</t>
  </si>
  <si>
    <t>00110057000238379904</t>
  </si>
  <si>
    <t>Ep Tecnología Médica En Terapia Física Y Rehabilitación</t>
  </si>
  <si>
    <t>42138206</t>
  </si>
  <si>
    <t>HERNANDEZ SANCHEZ KELLY</t>
  </si>
  <si>
    <t>00110814000227938760</t>
  </si>
  <si>
    <t>Tecnologías Medicas</t>
  </si>
  <si>
    <t>42793231</t>
  </si>
  <si>
    <t>TAFUR DURAND ERIKA</t>
  </si>
  <si>
    <t>00110814000206329403</t>
  </si>
  <si>
    <t>Ep de Medicina</t>
  </si>
  <si>
    <t>70071066</t>
  </si>
  <si>
    <t>ROJAS GUERRERO JIUSEPE IVAN</t>
  </si>
  <si>
    <t>00110814000224126420</t>
  </si>
  <si>
    <t>Ep Tecnología Médica En Optometría</t>
  </si>
  <si>
    <t>71732330</t>
  </si>
  <si>
    <t>CARBAJAL BENITES LUZ MIRELLA</t>
  </si>
  <si>
    <t>00110175000200775212</t>
  </si>
  <si>
    <t>Segunda Especialidad CCSS</t>
  </si>
  <si>
    <t>02894992</t>
  </si>
  <si>
    <t>PURIZACA CURO DE QUILLE ROXANA MARISEL</t>
  </si>
  <si>
    <t>01800000400832135901</t>
  </si>
  <si>
    <t>Segunda Especialidad FFBB</t>
  </si>
  <si>
    <t>75490953</t>
  </si>
  <si>
    <t>REYES MACHUCA YOSSELIN ADELAIDA</t>
  </si>
  <si>
    <t>00389801331596785849</t>
  </si>
  <si>
    <t>Ep de Contabilidad Y Finanzas</t>
  </si>
  <si>
    <t>47558888</t>
  </si>
  <si>
    <t>CAMACHO PEREZ ENZO ADHEMIR</t>
  </si>
  <si>
    <t>00110368000200574992</t>
  </si>
  <si>
    <t>Ep de Adm. Y Negocios Internacionales</t>
  </si>
  <si>
    <t>45946742</t>
  </si>
  <si>
    <t>SANCHEZ SIESQUEN JAVIER ALONSO</t>
  </si>
  <si>
    <t>03500100064189429576</t>
  </si>
  <si>
    <t>Ep de Administración Y Marketing</t>
  </si>
  <si>
    <t>76815987</t>
  </si>
  <si>
    <t>LEON PARIONA SANDY VANESSA</t>
  </si>
  <si>
    <t>00219110274684308753</t>
  </si>
  <si>
    <t>Ep de Ingeniería Industrial</t>
  </si>
  <si>
    <t>70988722</t>
  </si>
  <si>
    <t>ESPINOZA CARDENAS CINTHIA</t>
  </si>
  <si>
    <t>00219110323719409159</t>
  </si>
  <si>
    <t>Ep de Ingeniería IA</t>
  </si>
  <si>
    <t>76049794</t>
  </si>
  <si>
    <t>SANTISTEBAN IPANAQUE DIANA DE LOS MILAGROS</t>
  </si>
  <si>
    <t>00110814000219397106</t>
  </si>
  <si>
    <t>Ep de Ingeniería Sistemas</t>
  </si>
  <si>
    <t>41634172</t>
  </si>
  <si>
    <t>JUSCAMAYTA CARPIO JESUS ANTONIO</t>
  </si>
  <si>
    <t>00110322000200325541</t>
  </si>
  <si>
    <t>Ep de Administración de Empresas</t>
  </si>
  <si>
    <t>09353249</t>
  </si>
  <si>
    <t>LANDAURO CARRASCO RAFAEL MARTIN</t>
  </si>
  <si>
    <t>00219311045150107117</t>
  </si>
  <si>
    <t>Ep de Derecho</t>
  </si>
  <si>
    <t>71407641</t>
  </si>
  <si>
    <t>AGUILAR VASQUEZ BRITHANY DAYANA</t>
  </si>
  <si>
    <t>00110814000224534715</t>
  </si>
  <si>
    <t>Escuela de Posgrado</t>
  </si>
  <si>
    <t>41715053</t>
  </si>
  <si>
    <t>TARAZONA TARAZONA ANGEL AMERICO</t>
  </si>
  <si>
    <t>00110579000217005336</t>
  </si>
  <si>
    <t>Centros Preuniversitario</t>
  </si>
  <si>
    <t>74388519</t>
  </si>
  <si>
    <t>ROJAS PARILLO LUIS ENRIQUE</t>
  </si>
  <si>
    <t>00219119862552003553</t>
  </si>
  <si>
    <t>Centro de Idiomas</t>
  </si>
  <si>
    <t>43664250</t>
  </si>
  <si>
    <t>FLORES RIVERA ITO JULIO ANTONIO</t>
  </si>
  <si>
    <t>00110579000216317318</t>
  </si>
  <si>
    <t>Centros de Extensión Universitaria</t>
  </si>
  <si>
    <t>SAMANIEGO PUENTE LUDMILIA REDINA</t>
  </si>
  <si>
    <t>00110579000218151409</t>
  </si>
  <si>
    <t>Taller de Titulación</t>
  </si>
  <si>
    <t>75581503</t>
  </si>
  <si>
    <t>YNGA VASQUEZ DIANA MARIA</t>
  </si>
  <si>
    <t>00110579000218151697</t>
  </si>
  <si>
    <t>Seg. En Emerg. Y Desa.</t>
  </si>
  <si>
    <t>73009893</t>
  </si>
  <si>
    <t>ALARCO ACUÑA FLAVIO ANDRE</t>
  </si>
  <si>
    <t>00389801337769110744</t>
  </si>
  <si>
    <t>Seg. Cuidados Intensivos</t>
  </si>
  <si>
    <t>48154559</t>
  </si>
  <si>
    <t>MONTALVO PALOMINO GRACIELA</t>
  </si>
  <si>
    <t>00110579000218151476</t>
  </si>
  <si>
    <t>Seg. Salud Familiar Y Comunitaria</t>
  </si>
  <si>
    <t>08874760</t>
  </si>
  <si>
    <t>MOYA NOLLI CARMEN ROSANA</t>
  </si>
  <si>
    <t>00110579000218290891</t>
  </si>
  <si>
    <t>Seg. Cuidado Integ. Infan</t>
  </si>
  <si>
    <t>71740794</t>
  </si>
  <si>
    <t>CABEZAS HUANGAL ANGELLO SEBASTIÁN</t>
  </si>
  <si>
    <t>00905820167052506097</t>
  </si>
  <si>
    <t>Seg. Centro Quirúrgico</t>
  </si>
  <si>
    <t>42144503</t>
  </si>
  <si>
    <t>QUISPE LIZARBE JOAN ALFREDO</t>
  </si>
  <si>
    <t>00334101304907211150</t>
  </si>
  <si>
    <t>Seg. Urología</t>
  </si>
  <si>
    <t>71948234</t>
  </si>
  <si>
    <t>TANIGUCHI LOCK SONNY KENYI</t>
  </si>
  <si>
    <t>00110579000219276663</t>
  </si>
  <si>
    <t>Seg. Asuntos Regulatorios</t>
  </si>
  <si>
    <t>73586839</t>
  </si>
  <si>
    <t>CUBA RIOS SOFIA ALEJANDRA</t>
  </si>
  <si>
    <t>00110579000220405906</t>
  </si>
  <si>
    <t>Seg. Psicología Clínica</t>
  </si>
  <si>
    <t>44323558</t>
  </si>
  <si>
    <t>MAMANI SULLO INGRID MARIBEL</t>
  </si>
  <si>
    <t>00110579000220405558</t>
  </si>
  <si>
    <t>Maestría Salud Publica</t>
  </si>
  <si>
    <t>72972025</t>
  </si>
  <si>
    <t>PALOMINO GUIZADO SHEGLY SHARON</t>
  </si>
  <si>
    <t>00110579000220405809</t>
  </si>
  <si>
    <t>Maestría Administración de Empresas</t>
  </si>
  <si>
    <t>74716130</t>
  </si>
  <si>
    <t>TREJO HERNANDEZ DANNA BETZABE DEL ROSARIO</t>
  </si>
  <si>
    <t>00110253000200314820</t>
  </si>
  <si>
    <t>Diplomado En Asuntos Regulatorios Del Sector Farmacéutico</t>
  </si>
  <si>
    <t>09874299</t>
  </si>
  <si>
    <t>VILLAR BARNUEVO JULIO CESAR</t>
  </si>
  <si>
    <t>00110579000220405221</t>
  </si>
  <si>
    <t>07682432</t>
  </si>
  <si>
    <t>GAMARRA GABANCHO ELIZABETH DÁMERIS</t>
  </si>
  <si>
    <t>00110579000217467836</t>
  </si>
  <si>
    <t>74833507</t>
  </si>
  <si>
    <t>RAMOS AQUIJE JENNYFER XIOMARA</t>
  </si>
  <si>
    <t>00110579000220405973</t>
  </si>
  <si>
    <t>21528676</t>
  </si>
  <si>
    <t>HERRERA RIVAS MIRTHA ROSABELL</t>
  </si>
  <si>
    <t>00110814000221576522</t>
  </si>
  <si>
    <t>45728917</t>
  </si>
  <si>
    <t>VEGA TOMASTO MELISSA JESENYA</t>
  </si>
  <si>
    <t>00110057000226610996</t>
  </si>
  <si>
    <t>41398201</t>
  </si>
  <si>
    <t>DIONICIO ESCALANTE ELISA ROXANA</t>
  </si>
  <si>
    <t>00110057000230156531</t>
  </si>
  <si>
    <t>08711426</t>
  </si>
  <si>
    <t>GONZALES MATOS MARCELO DANTE</t>
  </si>
  <si>
    <t>00110579000220780731</t>
  </si>
  <si>
    <t>ZAMBRANO BRÁÑEZ MARIO ANDRÉS</t>
  </si>
  <si>
    <t>00110579000220780979</t>
  </si>
  <si>
    <t>71298175</t>
  </si>
  <si>
    <t>ARENAS ESTRADA MAYRA ALEXANDRA</t>
  </si>
  <si>
    <t>00110579000220781177</t>
  </si>
  <si>
    <t>45225991</t>
  </si>
  <si>
    <t>RUBIO LÓPEZ GHILMAR</t>
  </si>
  <si>
    <t>00110579000221179519</t>
  </si>
  <si>
    <t>02892931</t>
  </si>
  <si>
    <t>ORTIZ MADRID JORGE HEBER</t>
  </si>
  <si>
    <t>00110579000221561464</t>
  </si>
  <si>
    <t>75048628</t>
  </si>
  <si>
    <t>LOZADA RODRÍGUEZ VALERIE VALESKA</t>
  </si>
  <si>
    <t>00110579000221801023</t>
  </si>
  <si>
    <t>09864945</t>
  </si>
  <si>
    <t>REA SCHREIER PAMELLA ZDENKA</t>
  </si>
  <si>
    <t>00219117207380302056</t>
  </si>
  <si>
    <t>MENDOZA MORENO VIVIANA NICOLE</t>
  </si>
  <si>
    <t>00110579000221800981</t>
  </si>
  <si>
    <t>10583345</t>
  </si>
  <si>
    <t>MELGAR ALIAGA FREUD ENRIQUE</t>
  </si>
  <si>
    <t>00110579000229344314</t>
  </si>
  <si>
    <t>73332783</t>
  </si>
  <si>
    <t>RICRA ACUÑA CHRISTIAN ALEJANDRO</t>
  </si>
  <si>
    <t>00110579000229344411</t>
  </si>
  <si>
    <t>44905415</t>
  </si>
  <si>
    <t>NARREA ALVARADO ELIZABETH NATALY</t>
  </si>
  <si>
    <t>00110579080230727758</t>
  </si>
  <si>
    <t>41193739</t>
  </si>
  <si>
    <t>ALAYO PANDO MARITZA ISABEL</t>
  </si>
  <si>
    <t>00110579030230727685</t>
  </si>
  <si>
    <t>75793164</t>
  </si>
  <si>
    <t>CCASA RODAS KELLY ALISSON</t>
  </si>
  <si>
    <t>00110579040230728142</t>
  </si>
  <si>
    <t>43995352</t>
  </si>
  <si>
    <t>PAQUILLO TINCO  JIMMY MANUEL</t>
  </si>
  <si>
    <t>00110579020230727723</t>
  </si>
  <si>
    <t>47271933</t>
  </si>
  <si>
    <t>RIVERA GUERRERO MAYELY LIZETH</t>
  </si>
  <si>
    <t>00110579030230727812</t>
  </si>
  <si>
    <t>71951132</t>
  </si>
  <si>
    <t>TICONA SANDOVAL FRANCIS AARON</t>
  </si>
  <si>
    <t>00219119682544007251</t>
  </si>
  <si>
    <t>72208628</t>
  </si>
  <si>
    <t>ATAHUALPA MENDOZA  LUIS ALBERTO</t>
  </si>
  <si>
    <t>00110579000231299881</t>
  </si>
  <si>
    <t>07492900</t>
  </si>
  <si>
    <t>BASURTO AYALA PATRICIA</t>
  </si>
  <si>
    <t>00110579000231299571</t>
  </si>
  <si>
    <t>47616818</t>
  </si>
  <si>
    <t>VILLA QUISPE ELIZABETH MILAGROS</t>
  </si>
  <si>
    <t>00110579000231299733</t>
  </si>
  <si>
    <t>10441671518</t>
  </si>
  <si>
    <t>BRAVO ESPINOZA NANCY GLADYS</t>
  </si>
  <si>
    <t>00988520885018826258</t>
  </si>
  <si>
    <t>20606629509</t>
  </si>
  <si>
    <t>RULUXA PERU S.A.C.</t>
  </si>
  <si>
    <t>00219310183130600311</t>
  </si>
  <si>
    <t>20501426041</t>
  </si>
  <si>
    <t>SERVICIOS MULTIMEDIA S.A.C</t>
  </si>
  <si>
    <t>00110686000100025818</t>
  </si>
  <si>
    <t>20611660163</t>
  </si>
  <si>
    <t>JSN SECURITY NETWORK S.A.C.</t>
  </si>
  <si>
    <t>00313600300545102490</t>
  </si>
  <si>
    <t>10476149474</t>
  </si>
  <si>
    <t>AMAO ASENCIOS JAIR PEDRO</t>
  </si>
  <si>
    <t>00219113596192607652</t>
  </si>
  <si>
    <t>20523401956</t>
  </si>
  <si>
    <t>CORPORACION LOAYZA S.A.C.</t>
  </si>
  <si>
    <t>00110322000100023998</t>
  </si>
  <si>
    <t>41096673</t>
  </si>
  <si>
    <t xml:space="preserve">ABARCA MORAN GABY ALEJANDRA                                                                         </t>
  </si>
  <si>
    <t>00110486000200663717</t>
  </si>
  <si>
    <t>20543922499</t>
  </si>
  <si>
    <t>INDUSTRIAS JETUR SAC</t>
  </si>
  <si>
    <t>00219400194898400598</t>
  </si>
  <si>
    <t>20600695771</t>
  </si>
  <si>
    <t>NUBEFACT SA</t>
  </si>
  <si>
    <t>00219400233655102499</t>
  </si>
  <si>
    <t>20600044975</t>
  </si>
  <si>
    <t>SUNEDU</t>
  </si>
  <si>
    <t>00219300231843806412</t>
  </si>
  <si>
    <t>43698331</t>
  </si>
  <si>
    <t>AGÜERO FALCON DALIA PRYSCILA DE LA CARIDAD</t>
  </si>
  <si>
    <t>00110094000200126648</t>
  </si>
  <si>
    <t>20543365191</t>
  </si>
  <si>
    <t>4 HEARTS INC S.A.C.</t>
  </si>
  <si>
    <t>00219400193128300896</t>
  </si>
  <si>
    <t>20602706789</t>
  </si>
  <si>
    <t>PROPACKING S.A.C.</t>
  </si>
  <si>
    <t>00219100248833701557</t>
  </si>
  <si>
    <t>20612292427</t>
  </si>
  <si>
    <t>SUMAQ KALLPA PERU-DISTRIBUCIONES S.A.C.</t>
  </si>
  <si>
    <t>00219400262786205991</t>
  </si>
  <si>
    <t>20512906231</t>
  </si>
  <si>
    <t>ARRASCUE S.A.C.</t>
  </si>
  <si>
    <t>00110128000100003151</t>
  </si>
  <si>
    <t>44165405</t>
  </si>
  <si>
    <t>TERRONES ESPINOZA ALDO CLEMENTE</t>
  </si>
  <si>
    <t>00219119565636709052</t>
  </si>
  <si>
    <t>20510093471</t>
  </si>
  <si>
    <t>INTELEGO S.C.R.L.</t>
  </si>
  <si>
    <t>00219300209454703811</t>
  </si>
  <si>
    <t>20554197796</t>
  </si>
  <si>
    <t>ACQUATECNOLOGIA S.A.C.</t>
  </si>
  <si>
    <t>00110341000100040810</t>
  </si>
  <si>
    <t>20536602233</t>
  </si>
  <si>
    <t>ANALÍTICA Y ELECTRÓNICA E.I.R.L</t>
  </si>
  <si>
    <t>00219112026124300158</t>
  </si>
  <si>
    <t>20550807123</t>
  </si>
  <si>
    <t>UNIVERSIDAD MARIA AUXILIADORA S.A.C.</t>
  </si>
  <si>
    <t>00110436000200000324</t>
  </si>
  <si>
    <t>46091475</t>
  </si>
  <si>
    <t>MARAS VELASQUEZ JACKELIN</t>
  </si>
  <si>
    <t>00219112317757408957</t>
  </si>
  <si>
    <t>20100049181</t>
  </si>
  <si>
    <t>TAI LOY S.A.</t>
  </si>
  <si>
    <t>00219100074572417458</t>
  </si>
  <si>
    <t>20600262867</t>
  </si>
  <si>
    <t>FIREBOX PERU S.A.C.</t>
  </si>
  <si>
    <t>00110970000100008739</t>
  </si>
  <si>
    <t>20612748188</t>
  </si>
  <si>
    <t>ZAVANT S.A.C.</t>
  </si>
  <si>
    <t>00219400422082903498</t>
  </si>
  <si>
    <t>20605785591</t>
  </si>
  <si>
    <t>GRUPO CONDESSA S.A.C</t>
  </si>
  <si>
    <t>00110002000200125860</t>
  </si>
  <si>
    <t>19938072</t>
  </si>
  <si>
    <t>ROSADO DE LA CRUZ ROSSI MARILU</t>
  </si>
  <si>
    <t>00219110430344301155</t>
  </si>
  <si>
    <t>44122866</t>
  </si>
  <si>
    <t>ROCIO GABRIELA URQUIZARISCO</t>
  </si>
  <si>
    <t>00219312742254303710</t>
  </si>
  <si>
    <t>20113152169</t>
  </si>
  <si>
    <t>INVERSIONES GENERALES ARIES SA</t>
  </si>
  <si>
    <t>00110377000100053765</t>
  </si>
  <si>
    <t>20451716124</t>
  </si>
  <si>
    <t>VIRTUAL INTERNET SOLUTIONS S.A.C.</t>
  </si>
  <si>
    <t>00219300191857605413</t>
  </si>
  <si>
    <t>20610566767</t>
  </si>
  <si>
    <t>GONMAC CONSTRUCTORA S.A.C._x000D_</t>
  </si>
  <si>
    <t>00219100712327709158</t>
  </si>
  <si>
    <t>29279749</t>
  </si>
  <si>
    <t>Enrique Huaco Salas</t>
  </si>
  <si>
    <t>00241512931703306285</t>
  </si>
  <si>
    <t>10460914758</t>
  </si>
  <si>
    <t>20502258444</t>
  </si>
  <si>
    <t>REPRESENTACIONES MARCOS S.A.C</t>
  </si>
  <si>
    <t>00219100155264407152</t>
  </si>
  <si>
    <t>20555189631</t>
  </si>
  <si>
    <t>VSI INDUSTRIAL S.A.C.</t>
  </si>
  <si>
    <t>00110377000100040884</t>
  </si>
  <si>
    <t>10067528595</t>
  </si>
  <si>
    <t>PAUCCARA HUAYLLASI LORENZO</t>
  </si>
  <si>
    <t>00110814000219969509</t>
  </si>
  <si>
    <t>20557571354</t>
  </si>
  <si>
    <t>ECOIL SERVICIOS GENERALES SAC</t>
  </si>
  <si>
    <t>00110970110200108102</t>
  </si>
  <si>
    <t>20602277586</t>
  </si>
  <si>
    <t>EDUCATION LINK S.A.C.</t>
  </si>
  <si>
    <t>00110351000100032839</t>
  </si>
  <si>
    <t>10431538984</t>
  </si>
  <si>
    <t>NUÑEZ VILLAVICENCIO BRIAN ERNESTO</t>
  </si>
  <si>
    <t>00219317183915409910</t>
  </si>
  <si>
    <t>44963620</t>
  </si>
  <si>
    <t>CARHUACHIN TOLENTINO HECTOR ERWIN</t>
  </si>
  <si>
    <t>00110579000231859577</t>
  </si>
  <si>
    <t>20608922114</t>
  </si>
  <si>
    <t>MI DEPORTE PERU E.I.R.L.</t>
  </si>
  <si>
    <t>00110108000200467210</t>
  </si>
  <si>
    <t>20600651596</t>
  </si>
  <si>
    <t>GRUPO JIMENEZ SERVIMET EIRL</t>
  </si>
  <si>
    <t>00110322000100021022</t>
  </si>
  <si>
    <t>20600076460</t>
  </si>
  <si>
    <t>QUALITY RUBBER S.A.C PERÚ_x000D_</t>
  </si>
  <si>
    <t>00110716000100011959</t>
  </si>
  <si>
    <t>20603512422</t>
  </si>
  <si>
    <t>IMPORTACIONES TECNOGRASS PERU S.A.C.</t>
  </si>
  <si>
    <t>00110312000100025414</t>
  </si>
  <si>
    <t>20613235982</t>
  </si>
  <si>
    <t>NEGOCIOS DELCON E.I.R.L._x000D_</t>
  </si>
  <si>
    <t>00219100707449807354</t>
  </si>
  <si>
    <t>10091992596</t>
  </si>
  <si>
    <t>CABRERA HEREDIA ANTONIO HERNANDO</t>
  </si>
  <si>
    <t>00110322000200388594</t>
  </si>
  <si>
    <t>10710582136</t>
  </si>
  <si>
    <t>ARAUJO ZARATE RAUL JESUS_x000D_</t>
  </si>
  <si>
    <t>00219119494851709053</t>
  </si>
  <si>
    <t>20605319247</t>
  </si>
  <si>
    <t>NETVOICE SA.C.</t>
  </si>
  <si>
    <t>00219300262620401219</t>
  </si>
  <si>
    <t>06674196</t>
  </si>
  <si>
    <t xml:space="preserve"> HANZA RAFFO JAVIER</t>
  </si>
  <si>
    <t>00972420833054964767</t>
  </si>
  <si>
    <t>20602558232</t>
  </si>
  <si>
    <t>SCH SPORT CHAMPIONS EIRL</t>
  </si>
  <si>
    <t>00308200300136934951</t>
  </si>
  <si>
    <t>20601713030</t>
  </si>
  <si>
    <t>INKA RALLY AUTOMOTRIZ E.I.R.L.</t>
  </si>
  <si>
    <t>00219100788578802151</t>
  </si>
  <si>
    <t>20612539252</t>
  </si>
  <si>
    <t>SOLUCIONES TOTALES MAYON S.A.C.</t>
  </si>
  <si>
    <t>00219100476904507056</t>
  </si>
  <si>
    <t>20101281371</t>
  </si>
  <si>
    <t>DUN &amp; BRADSTREET S.A.C.</t>
  </si>
  <si>
    <t>00110147660100001543</t>
  </si>
  <si>
    <t>10073073184</t>
  </si>
  <si>
    <t>CHAMBI CASTILLO LILIA FELICITA</t>
  </si>
  <si>
    <t>00219117867500600157</t>
  </si>
  <si>
    <t>20538869491</t>
  </si>
  <si>
    <t>Hotel Carrera S.A.C</t>
  </si>
  <si>
    <t>00320000300066141234</t>
  </si>
  <si>
    <t>20122695795</t>
  </si>
  <si>
    <t>IMPORTADORES A&amp;M S.R.L.</t>
  </si>
  <si>
    <t>00219100194573205750</t>
  </si>
  <si>
    <t>20122695523</t>
  </si>
  <si>
    <t>ROXANA IMPORT EXPORT S.R.L.</t>
  </si>
  <si>
    <t>00219100208503707852</t>
  </si>
  <si>
    <t>20602999140</t>
  </si>
  <si>
    <t>IEC &amp; TECNOLOGIA SAC</t>
  </si>
  <si>
    <t>00320000300320759336</t>
  </si>
  <si>
    <t>10103828711</t>
  </si>
  <si>
    <t>PANDO LLAJARUNA JESUS FILOMENO</t>
  </si>
  <si>
    <t>00219119547954207950</t>
  </si>
  <si>
    <t>20522946223</t>
  </si>
  <si>
    <t>INGEGAS SERVICE S.R.L.</t>
  </si>
  <si>
    <t>00110190000100041353</t>
  </si>
  <si>
    <t>72145759</t>
  </si>
  <si>
    <t>INFANTES PECHO PEDRO JIM</t>
  </si>
  <si>
    <t>00110579000234845143</t>
  </si>
  <si>
    <t>06080079</t>
  </si>
  <si>
    <t xml:space="preserve">Nanci Aidee Díaz Diaz </t>
  </si>
  <si>
    <t>00219311281686502613</t>
  </si>
  <si>
    <t>20537302136</t>
  </si>
  <si>
    <t>SYNTHETIC INSUMOS SAC</t>
  </si>
  <si>
    <t>00110130000100064801</t>
  </si>
  <si>
    <t>20492058999</t>
  </si>
  <si>
    <t>INVERSIONES PURIS SAC</t>
  </si>
  <si>
    <t>00110484000200111624</t>
  </si>
  <si>
    <t>20606085126</t>
  </si>
  <si>
    <t>MAC FANS SAC</t>
  </si>
  <si>
    <t>00336500300279092340</t>
  </si>
  <si>
    <t>41670729</t>
  </si>
  <si>
    <t>MEDINA VÁSQUEZ ENZO DIEGO</t>
  </si>
  <si>
    <t>00219311345458508811</t>
  </si>
  <si>
    <t>70860716</t>
  </si>
  <si>
    <t>CURI NOREÑA RAQUEL ABIGAIL</t>
  </si>
  <si>
    <t>00110579000216443623</t>
  </si>
  <si>
    <t>20609346834</t>
  </si>
  <si>
    <t>EZ CASTING E.I.R.L.</t>
  </si>
  <si>
    <t>00110161000200358968</t>
  </si>
  <si>
    <t>20514761826</t>
  </si>
  <si>
    <t>UNIDAD EJECUTORA 002 - INICTEL-UNI</t>
  </si>
  <si>
    <t>01800000000086146406</t>
  </si>
  <si>
    <t>20519147247</t>
  </si>
  <si>
    <t>BUMERAN.COM PERU SAC</t>
  </si>
  <si>
    <t>00219400173591903391</t>
  </si>
  <si>
    <t>20611664606</t>
  </si>
  <si>
    <t>PROYECTOS Y SOLUCIONES MIGUELITO S.A.C.</t>
  </si>
  <si>
    <t>00320000300673249434</t>
  </si>
  <si>
    <t>IEC&amp;TECNOLOGIA SAC</t>
  </si>
  <si>
    <t>20601136954</t>
  </si>
  <si>
    <t>CLOUD SECURITEC SAC</t>
  </si>
  <si>
    <t>00219113478811600951</t>
  </si>
  <si>
    <t>20603046570</t>
  </si>
  <si>
    <t>QUIMICA MULTIPLE INDUSTRIAL E.I.R.L.</t>
  </si>
  <si>
    <t>00110316000200761322</t>
  </si>
  <si>
    <t>20600811364</t>
  </si>
  <si>
    <t>IMPORT MEDICAL ANICAMA E.I.R.L</t>
  </si>
  <si>
    <t>00110162000100039380</t>
  </si>
  <si>
    <t>20100049857</t>
  </si>
  <si>
    <t>COLD IMPORT S.A.</t>
  </si>
  <si>
    <t>00219100015664002152</t>
  </si>
  <si>
    <t>20600051220</t>
  </si>
  <si>
    <t>GML CREACIONES EIRL</t>
  </si>
  <si>
    <t>00219200267349701834</t>
  </si>
  <si>
    <t>20492889301</t>
  </si>
  <si>
    <t>ITEMAR S.A.C.</t>
  </si>
  <si>
    <t>00110128000100007246</t>
  </si>
  <si>
    <t>20614649977</t>
  </si>
  <si>
    <t>JEAR SECURITY NETWORK E.I.R.L.</t>
  </si>
  <si>
    <t>00320000300751924733_x000D_</t>
  </si>
  <si>
    <t>10094859731</t>
  </si>
  <si>
    <t>RONCAL MALLQUI CARMEN SERLY</t>
  </si>
  <si>
    <t>00219117384647409554</t>
  </si>
  <si>
    <t>20613574957</t>
  </si>
  <si>
    <t>OPTIMIZACX CONSULTORIA Y SERVICIOS S.A.C.</t>
  </si>
  <si>
    <t>00219400712804707394</t>
  </si>
  <si>
    <t>20602273360</t>
  </si>
  <si>
    <t>INTCOPERU EIRL</t>
  </si>
  <si>
    <t>00110094000200247747</t>
  </si>
  <si>
    <t>20607421502</t>
  </si>
  <si>
    <t>A&amp;G EFECTY PUBLICIDAD INTEGRAL SAC</t>
  </si>
  <si>
    <t>00219100955947707151</t>
  </si>
  <si>
    <t>10066944978</t>
  </si>
  <si>
    <t>WALL TOLEDO LUIS MIGUEL</t>
  </si>
  <si>
    <t>00219317022850608316</t>
  </si>
  <si>
    <t>10090311471</t>
  </si>
  <si>
    <t>ALANYA BELLIDO JORGE LUIS</t>
  </si>
  <si>
    <t>00219112489257701552</t>
  </si>
  <si>
    <t>20613061402</t>
  </si>
  <si>
    <t>FERMENTA 104 S.A.C.</t>
  </si>
  <si>
    <t>00219300712750105816</t>
  </si>
  <si>
    <t>06962442</t>
  </si>
  <si>
    <t>ALBORNOZ ESTEBAN ROGER</t>
  </si>
  <si>
    <t>00219117159282608455</t>
  </si>
  <si>
    <t>10074982650</t>
  </si>
  <si>
    <t>HUARICACHA CONDORI AMERICO FREDY</t>
  </si>
  <si>
    <t>00219113417378407255</t>
  </si>
  <si>
    <t>10464094585</t>
  </si>
  <si>
    <t>MACHUCA VARGAS MACHUCA DIEGO EDGARDO</t>
  </si>
  <si>
    <t>00219317221988407511</t>
  </si>
  <si>
    <t>10474982136</t>
  </si>
  <si>
    <t>PILCO HUAMAN WENDY MANUELA</t>
  </si>
  <si>
    <t>00110234000200404680</t>
  </si>
  <si>
    <t>41995572</t>
  </si>
  <si>
    <t>CHULAN BELLON MANUEL</t>
  </si>
  <si>
    <t>00219119529477604757</t>
  </si>
  <si>
    <t>10708316968</t>
  </si>
  <si>
    <t>VICHARRA ORTEGA JUAN SAMUEL</t>
  </si>
  <si>
    <t>00219119861532503757</t>
  </si>
  <si>
    <t>10436053946</t>
  </si>
  <si>
    <t>HUAMAN POCOMUCHA RICARDO MARCOS</t>
  </si>
  <si>
    <t>00363901309327235020</t>
  </si>
  <si>
    <t>72387371</t>
  </si>
  <si>
    <t>MARIMÓN ORTIZ SEBASTIÁN JOSÉ</t>
  </si>
  <si>
    <t>00110579040237286900</t>
  </si>
  <si>
    <t>20606470054</t>
  </si>
  <si>
    <t>GRUPO DPALMA SAC</t>
  </si>
  <si>
    <t>00110189000100064773</t>
  </si>
  <si>
    <t>73987477</t>
  </si>
  <si>
    <t>JORDAN CUBA OSCAR PAOLO</t>
  </si>
  <si>
    <t>00219313807529208917</t>
  </si>
  <si>
    <t>20600157702</t>
  </si>
  <si>
    <t>ARCHICENTER ARQUITECTOS S.A.C.</t>
  </si>
  <si>
    <t>00320000300406150935_x000D_</t>
  </si>
  <si>
    <t>40730013</t>
  </si>
  <si>
    <t>OCHOA PACHAS RONALD</t>
  </si>
  <si>
    <t>00219412355623407496</t>
  </si>
  <si>
    <t>09665737</t>
  </si>
  <si>
    <t>Maria Mercedes Yauli Choque</t>
  </si>
  <si>
    <t>00219119905601608057</t>
  </si>
  <si>
    <t>70349921</t>
  </si>
  <si>
    <t>SALAZAR DIAZ MARIA ELENA</t>
  </si>
  <si>
    <t>00110115000200622176</t>
  </si>
  <si>
    <t>18167641</t>
  </si>
  <si>
    <t>OBANDO PERALTA ENA CECILIA</t>
  </si>
  <si>
    <t>00110057000218012362</t>
  </si>
  <si>
    <t>10476691741</t>
  </si>
  <si>
    <t>IGNACIA POMA RODRIGUEZ</t>
  </si>
  <si>
    <t>00110814000203987450</t>
  </si>
  <si>
    <t>20600360389</t>
  </si>
  <si>
    <t>MASKHAY PERU SAC</t>
  </si>
  <si>
    <t>00110791020007555412</t>
  </si>
  <si>
    <t>20501493156</t>
  </si>
  <si>
    <t xml:space="preserve"> J &amp; V Multiutiles Punto Com SAC</t>
  </si>
  <si>
    <t>00110175000200987236</t>
  </si>
  <si>
    <t>20548177546</t>
  </si>
  <si>
    <t>INSUMOS INDUSTRIALES CLEAN POINT SAC</t>
  </si>
  <si>
    <t>00308700300090534249</t>
  </si>
  <si>
    <t>20139491077</t>
  </si>
  <si>
    <t>ASOCIACIÓN DE BANCOS DEL PERÚ</t>
  </si>
  <si>
    <t>00219100004300004350</t>
  </si>
  <si>
    <t>20613897748</t>
  </si>
  <si>
    <t>GRUPO GESINCOP SAC</t>
  </si>
  <si>
    <t>00219300712077006814</t>
  </si>
  <si>
    <t>20554241876</t>
  </si>
  <si>
    <t>EWR NEGOCIOS S.A.C.</t>
  </si>
  <si>
    <t>00219100213419300454</t>
  </si>
  <si>
    <t>20530748040</t>
  </si>
  <si>
    <t>CADENA DIAL EIRL</t>
  </si>
  <si>
    <t>00352701309604542492</t>
  </si>
  <si>
    <t>20602698735</t>
  </si>
  <si>
    <t>CORPORACION DE MEDIOS PARAISO S.A.C.</t>
  </si>
  <si>
    <t>00233500246407003382</t>
  </si>
  <si>
    <t>20605365451</t>
  </si>
  <si>
    <t>ECOVAL MULTISERVICIOS S.A.C.</t>
  </si>
  <si>
    <t>00110161000100048139</t>
  </si>
  <si>
    <t>20613937286</t>
  </si>
  <si>
    <t>OUTFRONT HUB S.A.C.</t>
  </si>
  <si>
    <t>00219400723188504198</t>
  </si>
  <si>
    <t>74433270</t>
  </si>
  <si>
    <t>JOCOPE GUAYANAY TANIA ERIKA</t>
  </si>
  <si>
    <t>00110579090234329854</t>
  </si>
  <si>
    <t>43253000</t>
  </si>
  <si>
    <t>JULCA GÓMEZ SONIA SUSANA</t>
  </si>
  <si>
    <t>00110814000286327414</t>
  </si>
  <si>
    <t>20611557125</t>
  </si>
  <si>
    <t>ESENCIA PUBLICITARIA SAC</t>
  </si>
  <si>
    <t>00219100994779608552</t>
  </si>
  <si>
    <t>10400912829</t>
  </si>
  <si>
    <t>MORE IMAN HUGO</t>
  </si>
  <si>
    <t>00219311887695002412</t>
  </si>
  <si>
    <t>10407300136</t>
  </si>
  <si>
    <t>20548247854</t>
  </si>
  <si>
    <t xml:space="preserve">ROMAT PUBLICIDAD S.A.C. </t>
  </si>
  <si>
    <t>00219300204930605912</t>
  </si>
  <si>
    <t>20603899572</t>
  </si>
  <si>
    <t>DCORA HOGAR PERU E.I.R.L.</t>
  </si>
  <si>
    <t>00219310250395004114</t>
  </si>
  <si>
    <t>10422931002</t>
  </si>
  <si>
    <t>ROJAS DELGADO GERMAN</t>
  </si>
  <si>
    <t>00219119232215209758</t>
  </si>
  <si>
    <t>20612392171</t>
  </si>
  <si>
    <t>SERVICIOS PROFESIONALES JCJ ASOCIADOS S.A.C.S.</t>
  </si>
  <si>
    <t>00320000300633683137</t>
  </si>
  <si>
    <t>10441228665</t>
  </si>
  <si>
    <t>URQUIZA RISCO ROCIO GABRIELA</t>
  </si>
  <si>
    <t>00308701324188500544</t>
  </si>
  <si>
    <t>20614987864</t>
  </si>
  <si>
    <t>BIOYEMKAL E.I.R.L</t>
  </si>
  <si>
    <t>00219419857619401096</t>
  </si>
  <si>
    <t>20434327611</t>
  </si>
  <si>
    <t>SUPERTEC S.A.C.</t>
  </si>
  <si>
    <t xml:space="preserve">00219100928353406855 </t>
  </si>
  <si>
    <t>20610035885</t>
  </si>
  <si>
    <t>INVERSIONES INTCOPERU E.I.R.L.</t>
  </si>
  <si>
    <t>00110175000200986531</t>
  </si>
  <si>
    <t>20602868495</t>
  </si>
  <si>
    <t>DIGITALZ PERÚ S.A.C.</t>
  </si>
  <si>
    <t>00219300248575705413</t>
  </si>
  <si>
    <t xml:space="preserve">10476691741 </t>
  </si>
  <si>
    <t>20602501711</t>
  </si>
  <si>
    <t>LINE OF DESIGN S.A.C.</t>
  </si>
  <si>
    <t>00219400988835608199</t>
  </si>
  <si>
    <t>20610253807</t>
  </si>
  <si>
    <t>CLYDE PUBLICIDAD S.A.C.</t>
  </si>
  <si>
    <t>20571136181</t>
  </si>
  <si>
    <t>VAYA VALLA PUBLICIDAD EXTERIOR S.R.L.</t>
  </si>
  <si>
    <t>00110654000200011798</t>
  </si>
  <si>
    <t>74082631</t>
  </si>
  <si>
    <t>YOMIRA LAURA POLO LAVADO</t>
  </si>
  <si>
    <t>00219119471474005258</t>
  </si>
  <si>
    <t>10199380724</t>
  </si>
  <si>
    <t>20600649842</t>
  </si>
  <si>
    <t>IMMERSE S.A.C.</t>
  </si>
  <si>
    <t>20552555806</t>
  </si>
  <si>
    <t>BAFER ENERGY ECONOMIC SAC</t>
  </si>
  <si>
    <t>00110102000100066704</t>
  </si>
  <si>
    <t>10425306257</t>
  </si>
  <si>
    <t>MILLER ALEXANDER GUERRERO LLACTA</t>
  </si>
  <si>
    <t>00219110060898803757</t>
  </si>
  <si>
    <t>10074819929</t>
  </si>
  <si>
    <t>MORA CHERO RICARDO</t>
  </si>
  <si>
    <t>00219117760935908955</t>
  </si>
  <si>
    <t>10321259613</t>
  </si>
  <si>
    <t>GARCIA MALLQUI FRANCISCO AMANCIO</t>
  </si>
  <si>
    <t>00219112125924608454</t>
  </si>
  <si>
    <t>20335020872</t>
  </si>
  <si>
    <t>HEWLETT - PACKARD PERU S.R.L.</t>
  </si>
  <si>
    <t>73805452</t>
  </si>
  <si>
    <t>GUTIÉRREZ URIARTE SANDRA PAOLA</t>
  </si>
  <si>
    <t>00363001320185852518</t>
  </si>
  <si>
    <t>003073307</t>
  </si>
  <si>
    <t>José Gregorio Rodríguez Olivo</t>
  </si>
  <si>
    <t>00333001335895073383</t>
  </si>
  <si>
    <t>20523915127</t>
  </si>
  <si>
    <t>EGOLARTE SAC</t>
  </si>
  <si>
    <t>00110353000100044099</t>
  </si>
  <si>
    <t>20602571077</t>
  </si>
  <si>
    <t>HOLACLIENTE SAC</t>
  </si>
  <si>
    <t>00110908000100006797</t>
  </si>
  <si>
    <t>44647124</t>
  </si>
  <si>
    <t>POPUCHE CABRERA KARINA</t>
  </si>
  <si>
    <t>00370001307385084521</t>
  </si>
  <si>
    <t>20609308347</t>
  </si>
  <si>
    <t>KUELAP INGENIEROS S.A.C</t>
  </si>
  <si>
    <t>00110787000100029979</t>
  </si>
  <si>
    <t>10457128504</t>
  </si>
  <si>
    <t>VENTURA CAVALCANTI MIRIAM HEYDI</t>
  </si>
  <si>
    <t>00110057000222462445</t>
  </si>
  <si>
    <t>20555906138</t>
  </si>
  <si>
    <t>NYTEC S.A.C.</t>
  </si>
  <si>
    <t xml:space="preserve">20297885538 </t>
  </si>
  <si>
    <t>HOTELERA COSTA DEL PACIFICO S.A</t>
  </si>
  <si>
    <t>Tabla 6</t>
  </si>
  <si>
    <t>00219300119689111611</t>
  </si>
  <si>
    <t>20610162160</t>
  </si>
  <si>
    <t>BIG CHEESE S.A.C.</t>
  </si>
  <si>
    <t>00110048000100016712</t>
  </si>
  <si>
    <t>20608571109</t>
  </si>
  <si>
    <t>CEAVE S.A.C._x000D_</t>
  </si>
  <si>
    <t>00219400974591418390</t>
  </si>
  <si>
    <t>20612369233</t>
  </si>
  <si>
    <t>C&amp;S TECNOLOGIA S.A.C.</t>
  </si>
  <si>
    <t>00110358940100067592</t>
  </si>
  <si>
    <t>00110119000200463096</t>
  </si>
  <si>
    <t>00304500300134240523</t>
  </si>
  <si>
    <t>00219300004163718417</t>
  </si>
  <si>
    <t>20552173270</t>
  </si>
  <si>
    <t>IRENT PERU SAC</t>
  </si>
  <si>
    <t>00219300215368318215</t>
  </si>
  <si>
    <t>20610151630</t>
  </si>
  <si>
    <t>PROYECTSOL E.I.R.L</t>
  </si>
  <si>
    <t>00320000300475648431</t>
  </si>
  <si>
    <t>00110791000200180226</t>
  </si>
  <si>
    <t>20612101192</t>
  </si>
  <si>
    <t>DIGITAL SYSTEMS SAC</t>
  </si>
  <si>
    <t>00320000300690816832</t>
  </si>
  <si>
    <t>00110872000200007559</t>
  </si>
  <si>
    <t>00110360000200224009</t>
  </si>
  <si>
    <t>00389800300393291945</t>
  </si>
  <si>
    <t>00219100101694710059</t>
  </si>
  <si>
    <t>00110814000271213110</t>
  </si>
  <si>
    <t>00219300713694516113</t>
  </si>
  <si>
    <t>Cod</t>
  </si>
  <si>
    <t>DOI Tipo</t>
  </si>
  <si>
    <t>DOI Número</t>
  </si>
  <si>
    <t>Tipo Abono</t>
  </si>
  <si>
    <t>N° Cuentas a Abonar</t>
  </si>
  <si>
    <t>Nombre de Beneficiario</t>
  </si>
  <si>
    <t>Importe Abonar</t>
  </si>
  <si>
    <t>Tipo Recibo</t>
  </si>
  <si>
    <t>N° Documento</t>
  </si>
  <si>
    <t>Abono agrupado</t>
  </si>
  <si>
    <t>Referencia</t>
  </si>
  <si>
    <t>Indicador Aviso</t>
  </si>
  <si>
    <t>Medio de aviso</t>
  </si>
  <si>
    <t>Persona Contacto</t>
  </si>
  <si>
    <t>E001-16</t>
  </si>
  <si>
    <t>ALQUILER E IMPRESIÓN PARA NUEVO PANEL PUBLICITARIO - MAYO</t>
  </si>
  <si>
    <t>RAFAEL.LANDAURO@UMA.EDU.PE</t>
  </si>
  <si>
    <t>Nayrut Flores</t>
  </si>
  <si>
    <t>E001-19</t>
  </si>
  <si>
    <t>ALQUILER E IMPRESIÓN PARA NUEVO PANEL PUBLICITARIO</t>
  </si>
  <si>
    <t>F001-00746250</t>
  </si>
  <si>
    <t>CONTRATO N 3 DE ARRENDAMIENTO - CUOTA 23-24</t>
  </si>
  <si>
    <t>ALQUILER 1</t>
  </si>
  <si>
    <t>ALQ LOCAL AV AREQUIPA - JUL. 26</t>
  </si>
  <si>
    <t>ALQUILER 2</t>
  </si>
  <si>
    <t>ALQUILER AV CANTO BELLO 7A - JUL. 26</t>
  </si>
  <si>
    <t>ALQUILER 3</t>
  </si>
  <si>
    <t>ALQUILER LOS OLMOS OMORAN - JUL. 26</t>
  </si>
  <si>
    <t>ALQUILER 4</t>
  </si>
  <si>
    <t>ALQUILER LOS OLMOS GMORAN - JUL. 26</t>
  </si>
  <si>
    <t>Cotización S01438</t>
  </si>
  <si>
    <t>SERVICIO DE BOLSA WHATSAPP - TESORERÍA</t>
  </si>
  <si>
    <t>FFF1-011087</t>
  </si>
  <si>
    <t>SERVICIO DE SEGURIDAD - JUN. 26</t>
  </si>
  <si>
    <t>PLANILLA DE PROVEEDORES / REEMBOLSOS - 2026</t>
  </si>
  <si>
    <t>SECCIÓN 1: INFORMACIÓN DEL SOLICITANTE (IDENTIFICACIÓN)</t>
  </si>
  <si>
    <t>SECCIÓN 2: DATOS DEL PROVEEDOR Y SUSTENTO</t>
  </si>
  <si>
    <t>SECCIÓN 3: DATOS DE TESORERÍA</t>
  </si>
  <si>
    <t>SECCIÓN 4: BLOQUE FINANCIERO Y DE VIABILIDAD</t>
  </si>
  <si>
    <t>SECCIÓN 5: CONTROL Y ESTADOS</t>
  </si>
  <si>
    <t>ID</t>
  </si>
  <si>
    <t>FECHA DE RECEPCIÓN</t>
  </si>
  <si>
    <t>FECHA DOCUMENTO</t>
  </si>
  <si>
    <t>CENTRO DE COSTOS</t>
  </si>
  <si>
    <t>CORREO USUARIO SOLICITANTE</t>
  </si>
  <si>
    <t>TIPO DOI</t>
  </si>
  <si>
    <t>NRO. DOI</t>
  </si>
  <si>
    <t>PROVEEDOR</t>
  </si>
  <si>
    <t>TIPO DOCUMENTO</t>
  </si>
  <si>
    <t>NRO. DOCUMENTO</t>
  </si>
  <si>
    <t>LINK DE DOCUMENTO</t>
  </si>
  <si>
    <t>DESCRIPCIÓN</t>
  </si>
  <si>
    <t>TIPO DE BIEN O SERVICIO</t>
  </si>
  <si>
    <t>TIPO DE ABONO</t>
  </si>
  <si>
    <t>NRO. CUENTA</t>
  </si>
  <si>
    <t>TIPO DE CAMBIO</t>
  </si>
  <si>
    <t>MONTO BRUTO</t>
  </si>
  <si>
    <t>MONTO BRUTO USD-SOLES</t>
  </si>
  <si>
    <t>DETRACCION</t>
  </si>
  <si>
    <t>MONTO NETO A PAGAR</t>
  </si>
  <si>
    <t>FECHA DE PAGO</t>
  </si>
  <si>
    <t>MONTO PAGADO</t>
  </si>
  <si>
    <t>SALDO POR PAGAR</t>
  </si>
  <si>
    <t>TIPO DE PAGO</t>
  </si>
  <si>
    <t>EP DE FARMACIA Y BIOQUÍMICA</t>
  </si>
  <si>
    <t>E001-308</t>
  </si>
  <si>
    <t>MESA PARA OFICINA DE SAN BORJA - GERENCIA</t>
  </si>
  <si>
    <t>COMPRA DE REACTIVOS</t>
  </si>
  <si>
    <t>GERENCIA DE OPERACIONES</t>
  </si>
  <si>
    <t>F001-80095</t>
  </si>
  <si>
    <t>SERVICIO YAPAGO CLOUD - JUNIO</t>
  </si>
  <si>
    <t>CONSULTORÍA TRIBUTARIA</t>
  </si>
  <si>
    <t>E001-2273</t>
  </si>
  <si>
    <t>RENOVACIÓN HOSTING DE DOMINIO</t>
  </si>
  <si>
    <t>HOSTING Y SERVICIOS TECNOLÓGICOS</t>
  </si>
  <si>
    <t>E001-509</t>
  </si>
  <si>
    <t>CPSERVICIO DE SUMINISTRO FABRICACION Y PINTADO AL HORNO DE MESAS CANADIENSES.</t>
  </si>
  <si>
    <t>E001-766</t>
  </si>
  <si>
    <t>ESPACIO PUBLICITARIO EN VALLA DE TERMINAL TERRESTRE DE HUACHO</t>
  </si>
  <si>
    <t>PUBLICIDAD Y MARKETING</t>
  </si>
  <si>
    <t>PRUEBA</t>
  </si>
  <si>
    <t>POR TRANSFERENCIA A LA CUENTA DE INTERBANK DE LA UMA.</t>
  </si>
  <si>
    <t>SERVICIOS NO CLASIFICADOS AFECTOS A IGV</t>
  </si>
  <si>
    <t>DNI O L.E.</t>
  </si>
  <si>
    <t>DEVOLUCIÓN</t>
  </si>
  <si>
    <t>DEVOLUCIÓN POR FALTA DE MATRÍCULA</t>
  </si>
  <si>
    <t>E001-697</t>
  </si>
  <si>
    <t>ADELANTO POR MEDALLAS - GYT</t>
  </si>
  <si>
    <t>COMPRA DE MATERIALES EDUCATIVOS</t>
  </si>
  <si>
    <t>E001-135</t>
  </si>
  <si>
    <t>E001-135.PDF</t>
  </si>
  <si>
    <t>ALQUILER LOCAL EUCALIPTOS - CANTO BELLO</t>
  </si>
  <si>
    <t>ALQUILER DE INMUEBLES</t>
  </si>
  <si>
    <t>E001-154</t>
  </si>
  <si>
    <t>PDF-DOC-E001-15410441671518.PDF</t>
  </si>
  <si>
    <t xml:space="preserve">IMPRESIONES Y COPIAS VARIOS </t>
  </si>
  <si>
    <t>COMPRA DE ÚTILES DE OFICINA</t>
  </si>
  <si>
    <t>E001-155</t>
  </si>
  <si>
    <t>PDF-DOC-E001-15510441671518.PDF</t>
  </si>
  <si>
    <t>E001-156</t>
  </si>
  <si>
    <t>PDF-DOC-E001-15610441671518.PDF</t>
  </si>
  <si>
    <t xml:space="preserve">E001-900 </t>
  </si>
  <si>
    <t>PDF-DOC-E001-90020600814843.PDF</t>
  </si>
  <si>
    <t>COMPRA DE 04 ROLL SCREENS</t>
  </si>
  <si>
    <t>001-2026</t>
  </si>
  <si>
    <t>LUIS LUYO_GASTOS SIN SUST..DOCX</t>
  </si>
  <si>
    <t>GASTO SIN SUSTENTO UMA - FERIA UMA - CAMPOY S.J.L - RESPONSABILIDAD SOCIAL</t>
  </si>
  <si>
    <t xml:space="preserve">E001-2221 </t>
  </si>
  <si>
    <t>2026-06 - FE001-2221 - UMA UNIVERSIDAD MARIA AUXILIADORA - PLATAFORMA CHATTIGO - PERIODO JUNIO 2026.PDF</t>
  </si>
  <si>
    <t>MANTENIMIENTO PLATAFORMA CHATTIGO - JUNIO 2026</t>
  </si>
  <si>
    <t>E001-444</t>
  </si>
  <si>
    <t>PDF-DOC-E001-44420330247038.PDF</t>
  </si>
  <si>
    <t>VOLANTES PARA SEGUNDAS ESPECIALIDAD EN ENFERMERÍA</t>
  </si>
  <si>
    <t>FF01-2853</t>
  </si>
  <si>
    <t>FF01-2853.PDF</t>
  </si>
  <si>
    <t xml:space="preserve"> MATERIALES PARA EL MANTENIMIENTO DEL MES DE JUNIO.</t>
  </si>
  <si>
    <t>COMPRA DE BIENES COMUNES</t>
  </si>
  <si>
    <t>2078-2026</t>
  </si>
  <si>
    <t>PEDIDO 2078-2026-MMTT GLP_SJL.PDF</t>
  </si>
  <si>
    <t>ADELANTO MANTENIMIENTO DE LÍNEAS DE GAS</t>
  </si>
  <si>
    <t>MANTENIMIENTO DE EQUIPOS DE LABORATORIO</t>
  </si>
  <si>
    <t>IND-026681</t>
  </si>
  <si>
    <t>IND-026681.PDF</t>
  </si>
  <si>
    <t>EQUIPAMIENTO EN LOS LABORATORIOS - FYB</t>
  </si>
  <si>
    <t>COMPRA DE EQUIPOS DE LABORATORIO</t>
  </si>
  <si>
    <t>IND-026647</t>
  </si>
  <si>
    <t>IND-026647.PDF</t>
  </si>
  <si>
    <t>ADELANTO</t>
  </si>
  <si>
    <t>ADQUISICIÓN DE ESTOLAS.PDF</t>
  </si>
  <si>
    <t xml:space="preserve"> ADQUISICIÓN  DE ESTOLAS - GYT</t>
  </si>
  <si>
    <t>10074819929-MORA CHERO RICARDO.PDF</t>
  </si>
  <si>
    <t>COMPRA DE TAPAJUNTAS Y REPISAS PARA LOS LABORATORIOS</t>
  </si>
  <si>
    <t>S001-551502</t>
  </si>
  <si>
    <t>20550807123_S001_00551502.PDF</t>
  </si>
  <si>
    <t>01-05-2026 - 31-05-2026  ALQUILER DE EQUIPOS - RENTA MENSUAL</t>
  </si>
  <si>
    <t>ALQUILER DE BIENES  (MUEBLES)</t>
  </si>
  <si>
    <t>F001-01153401</t>
  </si>
  <si>
    <t>20265681299-EQUIFAX PERU SAC.PDF</t>
  </si>
  <si>
    <t>SERVICIOS DE COBRANZA BLANCA MAY. 26</t>
  </si>
  <si>
    <t>SERVICIOS EMPRESARIALES</t>
  </si>
  <si>
    <t>PDF-DOC-E001-1920610253807 (1).PDF</t>
  </si>
  <si>
    <t>F003-001676</t>
  </si>
  <si>
    <t>20600178971-01-F003-1676.PDF</t>
  </si>
  <si>
    <t>ALQUILER DE SISTEMA ACADÉMICO Y ADMINISTRATIVO JUN. 26</t>
  </si>
  <si>
    <t>SOPORTE TI</t>
  </si>
  <si>
    <t>20611664606-PROYECTOS Y SOLUCIONES MIGUELITO S.A.C..PDF</t>
  </si>
  <si>
    <t>ESCRITORIO L - ESTUDIOS GENERALES</t>
  </si>
  <si>
    <t>COMPRA DE MOBILIARIO ESTÁNDAR</t>
  </si>
  <si>
    <t>44963620-FORMATO GSS MAYO - JUNIO.PDF</t>
  </si>
  <si>
    <t>SUPERVISIONES Y GESTIONES EXTRAMURALES EN RELACIÓN A CAMPOS CLÍNICOS - ENF</t>
  </si>
  <si>
    <t>TRANSPORTE DE PERSONAL</t>
  </si>
  <si>
    <t>COTIZACION FRAGMAC.PDF</t>
  </si>
  <si>
    <t>INSUMOS DE LABORATORIOS - FYB</t>
  </si>
  <si>
    <t>F002-0001536</t>
  </si>
  <si>
    <t>F002-0001536.PDF</t>
  </si>
  <si>
    <t>SERVICIO DE LIMPIEZA - JUN. 26</t>
  </si>
  <si>
    <t>SERVICIOS DE LIMPIEZA</t>
  </si>
  <si>
    <t>F001-00013650</t>
  </si>
  <si>
    <t>F001-00013650.PDF</t>
  </si>
  <si>
    <t>INTERNET BUSINESS DE 50MBPS. PERIODO MES DE JUN. 2026 - AV AREQUIPA</t>
  </si>
  <si>
    <t>S001-550385</t>
  </si>
  <si>
    <t>20550807123_S001_00550385.PDF</t>
  </si>
  <si>
    <t>01-06-2026 - 30-06-2026 RENTA MENSUAL</t>
  </si>
  <si>
    <t>20335020872_01_F001-746250_157316455.PDF</t>
  </si>
  <si>
    <t xml:space="preserve">E001-583 </t>
  </si>
  <si>
    <t>E001-583.PDF</t>
  </si>
  <si>
    <t>ALQUILER DE ESPACIO PUBLICITARIO - JUN. 26</t>
  </si>
  <si>
    <t xml:space="preserve">E001-9039 </t>
  </si>
  <si>
    <t>PDF-DOC-E001-903920605319247.PDF</t>
  </si>
  <si>
    <t>SERVICIO DE CONSUMO DE TRAFICO TELEFONICO PERIODO JUN. 2026</t>
  </si>
  <si>
    <t xml:space="preserve">E001-20 </t>
  </si>
  <si>
    <t>PDF-DOC-E001-2020613574957.PDF</t>
  </si>
  <si>
    <t>SERVICIO DE GESTION DE COBRANZA MAY. 26</t>
  </si>
  <si>
    <t>ALQUILER 5</t>
  </si>
  <si>
    <t>ALQUILER AV CANTO BELLO 7B - JUL. 26</t>
  </si>
  <si>
    <t>ALQUILER 6</t>
  </si>
  <si>
    <t>ALQUILER BARRANCA GMORAN - JUL. 26</t>
  </si>
  <si>
    <t>ALQUILER 7</t>
  </si>
  <si>
    <t>ALQUILER BARRANCA OMORAN - JUL. 26</t>
  </si>
  <si>
    <t>ALQUILER 8</t>
  </si>
  <si>
    <t>ALQUILER DE CAMIONETA - JUL. 26</t>
  </si>
  <si>
    <t>F030-1845269</t>
  </si>
  <si>
    <t>INVOICE_F 030-1845269.PDF</t>
  </si>
  <si>
    <t>SERVICIO MULTIPRODUCTO DIGITAL-MANTENIMIENTO - SUSCRIPCIÓN - JUN. 26</t>
  </si>
  <si>
    <t>A rendir</t>
  </si>
  <si>
    <t>INTERNET DE BARRANCA.PDF</t>
  </si>
  <si>
    <t>PAGO INTERNET BARRANCA MAYO Y JUNIO</t>
  </si>
  <si>
    <t>E001-242</t>
  </si>
  <si>
    <t>PDF-DOC-E001-24210074982650 (1).PDF</t>
  </si>
  <si>
    <t>POLOS Y CAMISAS INSTITUCIONALES</t>
  </si>
  <si>
    <t>MOVILIDAD-SANDRA.PDF</t>
  </si>
  <si>
    <t>MOVILIDAD POR  COBERTURA FOTOGRÁFICA EN EL CIAM DE SJL 25.06</t>
  </si>
  <si>
    <t>B397-17154</t>
  </si>
  <si>
    <t>TINTA DE IMPRESORA.PDF</t>
  </si>
  <si>
    <t>COMPRA DE TINTA PARA IMPRESORA - FYB</t>
  </si>
  <si>
    <t>GASTOS DE POA 2026 - FYB.PDF</t>
  </si>
  <si>
    <t>GASTOS - POA 2026 FYB</t>
  </si>
  <si>
    <t>COTIZACION AyE-26-065</t>
  </si>
  <si>
    <t>COT. 26-065 UMA HABILITACION ELECTRICO PARA AUTOCLAVE MRC E-AU001.XLS</t>
  </si>
  <si>
    <t>MANTENIMIENTO DE LOS EQUIPOS DE LABORATORIO FYB - HABILITACIÓN ELECTRICA PARA AUTOCLAVE</t>
  </si>
  <si>
    <t>COTIZACION AyE-26-064</t>
  </si>
  <si>
    <t>COT. 26-064 UMA MANTENIMIENTO DE EQUIPOS VARIOS.XLS</t>
  </si>
  <si>
    <t>MANTENIMIENTO DE LOS EQUIPOS DE LABORATORIO FYB</t>
  </si>
  <si>
    <t>COTIZACION AyE-26-063</t>
  </si>
  <si>
    <t>COT. 26-063 UMA MANTENIMIENTO DE MICROSCOPIOS..PDF</t>
  </si>
  <si>
    <t>MANTENIMIENTO DE MICROSCOPIO DE LABORATORIO FYB</t>
  </si>
  <si>
    <t xml:space="preserve"> F002-0001597</t>
  </si>
  <si>
    <t>F002-0001597.PDF</t>
  </si>
  <si>
    <t>SERVICIO DE LIMPIEZA - JUN. 26 - DOMINGOS</t>
  </si>
  <si>
    <t>Completa Pago</t>
  </si>
  <si>
    <t>COMPLETA PAGO DE MEDALLAS..PDF</t>
  </si>
  <si>
    <t>COMPLETA PAGO - ADQUISICIÓN DE MEDALLAS</t>
  </si>
  <si>
    <t>CARNET DE EXTRANJERIA</t>
  </si>
  <si>
    <t>Devolución</t>
  </si>
  <si>
    <t>DEVOLUCIÓN DE PAGO POR DESISTIMIENTO.PDF</t>
  </si>
  <si>
    <t>DEVOLUCIÓN DE PAGO POR DESISTIMIENTO</t>
  </si>
  <si>
    <t>Cotización</t>
  </si>
  <si>
    <t>VISITA A MUNICIPALIDAD SJL -GESTIÓN DE RIESGOS</t>
  </si>
  <si>
    <t>Movilidades</t>
  </si>
  <si>
    <t>PROSPECCIÓN DE COLEGIOS - PROYECCIÓN DE GASTOS DEL JULIO</t>
  </si>
  <si>
    <t>E001-48</t>
  </si>
  <si>
    <t>MANTENIMIENTO PREVENTIVO ASCENSOR - JUNIO 2026</t>
  </si>
  <si>
    <t>MANTENIMIENTO DE ASCENSORES</t>
  </si>
  <si>
    <t>F002-77</t>
  </si>
  <si>
    <t>ALQUILER DE TORRE UNIPOLAR  AV. 9 DE OCTUBRE CDRA. 9 - SJL</t>
  </si>
  <si>
    <t>E001-9338</t>
  </si>
  <si>
    <t>RENTA MENSUAL DE PBX ISSABEL 01.07-31.07</t>
  </si>
  <si>
    <t>PRESUPUESTO N 001068 - 2026</t>
  </si>
  <si>
    <t>PIZARRA - AULA 101</t>
  </si>
  <si>
    <t>COT N 00060026131</t>
  </si>
  <si>
    <t xml:space="preserve"> INSUMOS DEL LABORATORIO - FYB</t>
  </si>
  <si>
    <t>COT N 00194531</t>
  </si>
  <si>
    <t xml:space="preserve"> F001- 1156897_x000D_</t>
  </si>
  <si>
    <t>SERVICIOS DE COBRANZA BLANCA JUN. 26</t>
  </si>
  <si>
    <t>OUTSOURCING DE PERSONAL</t>
  </si>
  <si>
    <t>PRESUPUESTO</t>
  </si>
  <si>
    <t>REDES SOCIALES JULIO - POA 2026</t>
  </si>
  <si>
    <t>REDES SOCIALES JULIO- POA  POSGARDO 2026</t>
  </si>
  <si>
    <t>GASTOS ADICIONALES JUNIO - PROMOTORIA COLEGIO Y GRUA PARA MINIVAN</t>
  </si>
  <si>
    <t>F001-80864</t>
  </si>
  <si>
    <t>SERVICIO YAPAGO CLOUD - JULIO</t>
  </si>
  <si>
    <t>E001-921</t>
  </si>
  <si>
    <t>COMPLETA PAGO - ESTUDIO DE SUELOS  CON FINES DE CIMENTACIÓN - LOTE 7</t>
  </si>
  <si>
    <t>Presupuesto</t>
  </si>
  <si>
    <t>TOGAS Y SALIDA DE PICA- PICA</t>
  </si>
  <si>
    <t>DEPOSITO INDECOPI -  SOLICITADO POR GABI MORÁN</t>
  </si>
  <si>
    <t>Propuesta N0230 -2026V2</t>
  </si>
  <si>
    <t>PANTALLA INTERACTIVA - RECTORADO</t>
  </si>
  <si>
    <t>FE02-00000142</t>
  </si>
  <si>
    <t>COMPLETA PAGO DESARROLLO DE API - SISTEMA DE ASISTENCIA</t>
  </si>
  <si>
    <t>DESARROLLO DE SOFTWARE</t>
  </si>
  <si>
    <t>COTHOTDRA</t>
  </si>
  <si>
    <t>RESERVA DEL HOTEL EN TRUJILLO - DRA GLADYS</t>
  </si>
  <si>
    <t>EEMB DIL</t>
  </si>
  <si>
    <t>REEMBOLSO POR COPIA DE LLAVES</t>
  </si>
  <si>
    <t>COTIZACION N 023-2026</t>
  </si>
  <si>
    <t>ADELANTO DE MANTENIMIENTO DE MINIVAN</t>
  </si>
  <si>
    <t>MANTENIMIENTO DE VEHÍCULOS</t>
  </si>
  <si>
    <t xml:space="preserve">E001-904 </t>
  </si>
  <si>
    <t>ROLL SCREM TESORERIA</t>
  </si>
  <si>
    <t>SERVICIOS DE VIGILANCIA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</si>
</sst>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3">
    <numFmt numFmtId="164" formatCode="#,##0%"/>
    <numFmt numFmtId="165" formatCode="_(s/. * #,##0.ff_)"/>
    <numFmt numFmtId="166" formatCode="dd/mm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Arial"/>
      <family val="2"/>
    </font>
    <font>
      <b/>
      <sz val="20"/>
      <color rgb="FF002060"/>
      <name val="Calibri"/>
      <family val="2"/>
    </font>
    <font>
      <b/>
      <sz val="9"/>
      <color rgb="FFffffff"/>
      <name val="Arial"/>
      <family val="2"/>
    </font>
    <font>
      <u/>
      <sz val="11"/>
      <color rgb="FF000000"/>
      <name val="Calibri"/>
      <family val="2"/>
    </font>
    <font>
      <b/>
      <sz val="20"/>
      <color rgb="FF00b050"/>
      <name val="Calibri"/>
      <family val="2"/>
    </font>
    <font>
      <sz val="11"/>
      <color rgb="FF00b050"/>
      <name val="Calibri"/>
      <family val="2"/>
    </font>
    <font>
      <b/>
      <sz val="9"/>
      <color rgb="FFff0000"/>
      <name val="Arial"/>
      <family val="2"/>
    </font>
    <font>
      <b/>
      <sz val="11"/>
      <color theme="1"/>
      <name val="Calibri"/>
      <family val="2"/>
    </font>
    <font>
      <sz val="11"/>
      <color rgb="FFffffff"/>
      <name val="Calibri"/>
      <family val="2"/>
    </font>
    <font>
      <u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b4c7e7"/>
      </patternFill>
    </fill>
    <fill>
      <patternFill patternType="solid">
        <fgColor rgb="FFdae3f3"/>
      </patternFill>
    </fill>
    <fill>
      <patternFill patternType="solid">
        <fgColor rgb="FF203864"/>
      </patternFill>
    </fill>
    <fill>
      <patternFill patternType="solid">
        <fgColor rgb="FF44546a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8faadc"/>
      </bottom>
      <diagonal/>
    </border>
    <border>
      <left style="thin">
        <color rgb="FFc6c6c6"/>
      </left>
      <right style="thin">
        <color rgb="FF8faadc"/>
      </right>
      <top style="thin">
        <color rgb="FFc6c6c6"/>
      </top>
      <bottom style="thin">
        <color rgb="FF8faadc"/>
      </bottom>
      <diagonal/>
    </border>
    <border>
      <left/>
      <right/>
      <top style="thin">
        <color rgb="FF8faadc"/>
      </top>
      <bottom style="thin">
        <color rgb="FF8faadc"/>
      </bottom>
      <diagonal/>
    </border>
    <border>
      <left/>
      <right style="thin">
        <color rgb="FF8faadc"/>
      </right>
      <top style="thin">
        <color rgb="FF8faadc"/>
      </top>
      <bottom style="thin">
        <color rgb="FF8faadc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ffffff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8faadc"/>
      </left>
      <right style="thin">
        <color rgb="FFc6c6c6"/>
      </right>
      <top style="thin">
        <color rgb="FF8faadc"/>
      </top>
      <bottom style="thin">
        <color rgb="FF8faadc"/>
      </bottom>
      <diagonal/>
    </border>
    <border>
      <left style="thin">
        <color rgb="FFc6c6c6"/>
      </left>
      <right style="thin">
        <color rgb="FFc6c6c6"/>
      </right>
      <top style="thin">
        <color rgb="FF8faadc"/>
      </top>
      <bottom style="thin">
        <color rgb="FF8faadc"/>
      </bottom>
      <diagonal/>
    </border>
    <border>
      <left style="medium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medium">
        <color rgb="FF000000"/>
      </right>
      <top/>
      <bottom/>
      <diagonal/>
    </border>
    <border>
      <left style="thin">
        <color rgb="FF8faadc"/>
      </left>
      <right/>
      <top style="thin">
        <color rgb="FF8faadc"/>
      </top>
      <bottom style="thin">
        <color rgb="FF8faadc"/>
      </bottom>
      <diagonal/>
    </border>
    <border>
      <left style="medium">
        <color rgb="FF000000"/>
      </left>
      <right style="thin">
        <color rgb="FFffffff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8faadc"/>
      </left>
      <right/>
      <top style="thin">
        <color rgb="FF8faadc"/>
      </top>
      <bottom/>
      <diagonal/>
    </border>
    <border>
      <left/>
      <right/>
      <top style="thin">
        <color rgb="FF8faadc"/>
      </top>
      <bottom/>
      <diagonal/>
    </border>
    <border>
      <left/>
      <right style="thin">
        <color rgb="FF8faadc"/>
      </right>
      <top style="thin">
        <color rgb="FF8faadc"/>
      </top>
      <bottom/>
      <diagonal/>
    </border>
    <border>
      <left style="thin">
        <color rgb="FFc6c6c6"/>
      </left>
      <right style="thin">
        <color rgb="FF8faadc"/>
      </right>
      <top style="thin">
        <color rgb="FF8faadc"/>
      </top>
      <bottom style="thin">
        <color rgb="FF8faadc"/>
      </bottom>
      <diagonal/>
    </border>
    <border>
      <left style="thin">
        <color rgb="FFc6c6c6"/>
      </left>
      <right style="thin">
        <color rgb="FFc6c6c6"/>
      </right>
      <top style="thin">
        <color rgb="FF8faadc"/>
      </top>
      <bottom style="thin">
        <color rgb="FFc6c6c6"/>
      </bottom>
      <diagonal/>
    </border>
    <border>
      <left style="thin">
        <color rgb="FFc6c6c6"/>
      </left>
      <right style="thin">
        <color rgb="FF8faadc"/>
      </right>
      <top style="thin">
        <color rgb="FF8faadc"/>
      </top>
      <bottom style="thin">
        <color rgb="FFc6c6c6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/>
      <diagonal/>
    </border>
  </borders>
  <cellStyleXfs count="1">
    <xf numFmtId="0" fontId="0" fillId="0" borderId="0"/>
  </cellStyleXfs>
  <cellXfs count="162">
    <xf xfId="0" numFmtId="0" borderId="0" fontId="0" fillId="0"/>
    <xf xfId="0" numFmtId="0" borderId="0" fontId="0" fillId="0" applyAlignment="1">
      <alignment horizontal="general"/>
    </xf>
    <xf xfId="0" numFmtId="164" applyNumberFormat="1" borderId="0" fontId="0" fillId="0" applyAlignment="1">
      <alignment horizontal="general"/>
    </xf>
    <xf xfId="0" numFmtId="164" applyNumberFormat="1" borderId="1" applyBorder="1" fontId="1" applyFont="1" fillId="0" applyAlignment="1">
      <alignment horizontal="right"/>
    </xf>
    <xf xfId="0" numFmtId="16" applyNumberFormat="1" borderId="1" applyBorder="1" fontId="1" applyFont="1" fillId="0" applyAlignment="1">
      <alignment horizontal="left"/>
    </xf>
    <xf xfId="0" numFmtId="0" borderId="0" fontId="0" fillId="0" applyAlignment="1">
      <alignment horizontal="general"/>
    </xf>
    <xf xfId="0" numFmtId="164" applyNumberFormat="1" borderId="0" fontId="0" fillId="0" applyAlignment="1">
      <alignment horizontal="general"/>
    </xf>
    <xf xfId="0" numFmtId="3" applyNumberFormat="1" borderId="0" fontId="0" fillId="0" applyAlignment="1">
      <alignment horizontal="right"/>
    </xf>
    <xf xfId="0" numFmtId="49" applyNumberFormat="1" borderId="0" fontId="0" fillId="0" applyAlignment="1">
      <alignment horizontal="left"/>
    </xf>
    <xf xfId="0" numFmtId="49" applyNumberFormat="1" borderId="0" fontId="0" fillId="0" applyAlignment="1">
      <alignment horizontal="general"/>
    </xf>
    <xf xfId="0" numFmtId="0" borderId="0" fontId="0" fillId="0" applyAlignment="1">
      <alignment horizontal="center"/>
    </xf>
    <xf xfId="0" numFmtId="3" applyNumberFormat="1" borderId="0" fontId="0" fillId="0" applyAlignment="1">
      <alignment horizontal="general"/>
    </xf>
    <xf xfId="0" numFmtId="49" applyNumberFormat="1" borderId="1" applyBorder="1" fontId="2" applyFont="1" fillId="0" applyAlignment="1">
      <alignment horizontal="left"/>
    </xf>
    <xf xfId="0" numFmtId="0" borderId="1" applyBorder="1" fontId="2" applyFont="1" fillId="0" applyAlignment="1">
      <alignment horizontal="left"/>
    </xf>
    <xf xfId="0" numFmtId="49" applyNumberFormat="1" borderId="2" applyBorder="1" fontId="3" applyFont="1" fillId="2" applyFill="1" applyAlignment="1">
      <alignment horizontal="center"/>
    </xf>
    <xf xfId="0" numFmtId="0" borderId="2" applyBorder="1" fontId="3" applyFont="1" fillId="2" applyFill="1" applyAlignment="1">
      <alignment horizontal="center"/>
    </xf>
    <xf xfId="0" numFmtId="0" borderId="3" applyBorder="1" fontId="3" applyFont="1" fillId="2" applyFill="1" applyAlignment="1">
      <alignment horizontal="center"/>
    </xf>
    <xf xfId="0" numFmtId="49" applyNumberFormat="1" borderId="3" applyBorder="1" fontId="3" applyFont="1" fillId="2" applyFill="1" applyAlignment="1">
      <alignment horizontal="center"/>
    </xf>
    <xf xfId="0" numFmtId="3" applyNumberFormat="1" borderId="1" applyBorder="1" fontId="2" applyFont="1" fillId="0" applyAlignment="1">
      <alignment horizontal="left"/>
    </xf>
    <xf xfId="0" numFmtId="3" applyNumberFormat="1" borderId="1" applyBorder="1" fontId="2" applyFont="1" fillId="0" applyAlignment="1">
      <alignment horizontal="right"/>
    </xf>
    <xf xfId="0" numFmtId="49" applyNumberFormat="1" borderId="4" applyBorder="1" fontId="4" applyFont="1" fillId="0" applyAlignment="1">
      <alignment horizontal="left"/>
    </xf>
    <xf xfId="0" numFmtId="0" borderId="4" applyBorder="1" fontId="4" applyFont="1" fillId="0" applyAlignment="1">
      <alignment horizontal="left"/>
    </xf>
    <xf xfId="0" numFmtId="49" applyNumberFormat="1" borderId="5" applyBorder="1" fontId="4" applyFont="1" fillId="0" applyAlignment="1">
      <alignment horizontal="left"/>
    </xf>
    <xf xfId="0" numFmtId="0" borderId="4" applyBorder="1" fontId="4" applyFont="1" fillId="0" applyAlignment="1">
      <alignment horizontal="center"/>
    </xf>
    <xf xfId="0" numFmtId="3" applyNumberFormat="1" borderId="6" applyBorder="1" fontId="5" applyFont="1" fillId="0" applyAlignment="1">
      <alignment horizontal="center"/>
    </xf>
    <xf xfId="0" numFmtId="0" borderId="7" applyBorder="1" fontId="5" applyFont="1" fillId="0" applyAlignment="1">
      <alignment horizontal="center"/>
    </xf>
    <xf xfId="0" numFmtId="0" borderId="8" applyBorder="1" fontId="1" applyFont="1" fillId="0" applyAlignment="1">
      <alignment horizontal="left"/>
    </xf>
    <xf xfId="0" numFmtId="3" applyNumberFormat="1" borderId="9" applyBorder="1" fontId="1" applyFont="1" fillId="3" applyFill="1" applyAlignment="1">
      <alignment horizontal="center"/>
    </xf>
    <xf xfId="0" numFmtId="0" borderId="10" applyBorder="1" fontId="1" applyFont="1" fillId="3" applyFill="1" applyAlignment="1">
      <alignment horizontal="left"/>
    </xf>
    <xf xfId="0" numFmtId="3" applyNumberFormat="1" borderId="11" applyBorder="1" fontId="5" applyFont="1" fillId="0" applyAlignment="1">
      <alignment horizontal="center"/>
    </xf>
    <xf xfId="0" numFmtId="0" borderId="1" applyBorder="1" fontId="5" applyFont="1" fillId="0" applyAlignment="1">
      <alignment horizontal="center"/>
    </xf>
    <xf xfId="0" numFmtId="0" borderId="12" applyBorder="1" fontId="1" applyFont="1" fillId="0" applyAlignment="1">
      <alignment horizontal="left"/>
    </xf>
    <xf xfId="0" numFmtId="3" applyNumberFormat="1" borderId="1" applyBorder="1" fontId="1" applyFont="1" fillId="0" applyAlignment="1">
      <alignment horizontal="left"/>
    </xf>
    <xf xfId="0" numFmtId="3" applyNumberFormat="1" borderId="1" applyBorder="1" fontId="1" applyFont="1" fillId="0" applyAlignment="1">
      <alignment horizontal="right"/>
    </xf>
    <xf xfId="0" numFmtId="3" applyNumberFormat="1" borderId="13" applyBorder="1" fontId="1" applyFont="1" fillId="0" applyAlignment="1">
      <alignment horizontal="center"/>
    </xf>
    <xf xfId="0" numFmtId="0" borderId="4" applyBorder="1" fontId="1" applyFont="1" fillId="0" applyAlignment="1">
      <alignment horizontal="left"/>
    </xf>
    <xf xfId="0" numFmtId="3" applyNumberFormat="1" borderId="14" applyBorder="1" fontId="5" applyFont="1" fillId="0" applyAlignment="1">
      <alignment horizontal="center"/>
    </xf>
    <xf xfId="0" numFmtId="0" borderId="15" applyBorder="1" fontId="5" applyFont="1" fillId="0" applyAlignment="1">
      <alignment horizontal="center"/>
    </xf>
    <xf xfId="0" numFmtId="0" borderId="16" applyBorder="1" fontId="1" applyFont="1" fillId="0" applyAlignment="1">
      <alignment horizontal="left"/>
    </xf>
    <xf xfId="0" numFmtId="3" applyNumberFormat="1" borderId="17" applyBorder="1" fontId="1" applyFont="1" fillId="0" applyAlignment="1">
      <alignment horizontal="left"/>
    </xf>
    <xf xfId="0" numFmtId="3" applyNumberFormat="1" borderId="18" applyBorder="1" fontId="1" applyFont="1" fillId="0" applyAlignment="1">
      <alignment horizontal="left"/>
    </xf>
    <xf xfId="0" numFmtId="3" applyNumberFormat="1" borderId="17" applyBorder="1" fontId="4" applyFont="1" fillId="0" applyAlignment="1">
      <alignment horizontal="left"/>
    </xf>
    <xf xfId="0" numFmtId="0" borderId="17" applyBorder="1" fontId="3" applyFont="1" fillId="0" applyAlignment="1">
      <alignment horizontal="left"/>
    </xf>
    <xf xfId="0" numFmtId="0" borderId="8" applyBorder="1" fontId="3" applyFont="1" fillId="0" applyAlignment="1">
      <alignment horizontal="left"/>
    </xf>
    <xf xfId="0" numFmtId="3" applyNumberFormat="1" borderId="19" applyBorder="1" fontId="2" applyFont="1" fillId="0" applyAlignment="1">
      <alignment horizontal="left"/>
    </xf>
    <xf xfId="0" numFmtId="0" borderId="19" applyBorder="1" fontId="2" applyFont="1" fillId="0" applyAlignment="1">
      <alignment horizontal="left"/>
    </xf>
    <xf xfId="0" numFmtId="0" borderId="12" applyBorder="1" fontId="2" applyFont="1" fillId="0" applyAlignment="1">
      <alignment horizontal="left"/>
    </xf>
    <xf xfId="0" numFmtId="0" borderId="1" applyBorder="1" fontId="4" applyFont="1" fillId="0" applyAlignment="1">
      <alignment horizontal="left"/>
    </xf>
    <xf xfId="0" numFmtId="3" applyNumberFormat="1" borderId="18" applyBorder="1" fontId="2" applyFont="1" fillId="0" applyAlignment="1">
      <alignment horizontal="left"/>
    </xf>
    <xf xfId="0" numFmtId="0" borderId="18" applyBorder="1" fontId="2" applyFont="1" fillId="0" applyAlignment="1">
      <alignment horizontal="left"/>
    </xf>
    <xf xfId="0" numFmtId="0" borderId="16" applyBorder="1" fontId="2" applyFont="1" fillId="0" applyAlignment="1">
      <alignment horizontal="left"/>
    </xf>
    <xf xfId="0" numFmtId="3" applyNumberFormat="1" borderId="20" applyBorder="1" fontId="2" applyFont="1" fillId="0" applyAlignment="1">
      <alignment horizontal="left"/>
    </xf>
    <xf xfId="0" numFmtId="3" applyNumberFormat="1" borderId="21" applyBorder="1" fontId="2" applyFont="1" fillId="0" applyAlignment="1">
      <alignment horizontal="left"/>
    </xf>
    <xf xfId="0" numFmtId="0" borderId="10" applyBorder="1" fontId="6" applyFont="1" fillId="3" applyFill="1" applyAlignment="1">
      <alignment horizontal="left"/>
    </xf>
    <xf xfId="0" numFmtId="3" applyNumberFormat="1" borderId="4" applyBorder="1" fontId="4" applyFont="1" fillId="0" applyAlignment="1">
      <alignment horizontal="right"/>
    </xf>
    <xf xfId="0" numFmtId="3" applyNumberFormat="1" borderId="22" applyBorder="1" fontId="1" applyFont="1" fillId="0" applyAlignment="1">
      <alignment horizontal="center"/>
    </xf>
    <xf xfId="0" numFmtId="0" borderId="23" applyBorder="1" fontId="1" applyFont="1" fillId="0" applyAlignment="1">
      <alignment horizontal="left"/>
    </xf>
    <xf xfId="0" numFmtId="49" applyNumberFormat="1" borderId="23" applyBorder="1" fontId="4" applyFont="1" fillId="0" applyAlignment="1">
      <alignment horizontal="left"/>
    </xf>
    <xf xfId="0" numFmtId="0" borderId="23" applyBorder="1" fontId="4" applyFont="1" fillId="0" applyAlignment="1">
      <alignment horizontal="left"/>
    </xf>
    <xf xfId="0" numFmtId="49" applyNumberFormat="1" borderId="24" applyBorder="1" fontId="4" applyFont="1" fillId="0" applyAlignment="1">
      <alignment horizontal="left"/>
    </xf>
    <xf xfId="0" numFmtId="0" borderId="23" applyBorder="1" fontId="4" applyFont="1" fillId="0" applyAlignment="1">
      <alignment horizontal="center"/>
    </xf>
    <xf xfId="0" numFmtId="0" borderId="4" applyBorder="1" fontId="4" applyFont="1" fillId="0" applyAlignment="1">
      <alignment horizontal="left" wrapText="1"/>
    </xf>
    <xf xfId="0" numFmtId="49" applyNumberFormat="1" borderId="5" applyBorder="1" fontId="4" applyFont="1" fillId="0" applyAlignment="1">
      <alignment horizontal="left" wrapText="1"/>
    </xf>
    <xf xfId="0" numFmtId="0" borderId="23" applyBorder="1" fontId="4" applyFont="1" fillId="0" applyAlignment="1">
      <alignment horizontal="left" wrapText="1"/>
    </xf>
    <xf xfId="0" numFmtId="49" applyNumberFormat="1" borderId="24" applyBorder="1" fontId="4" applyFont="1" fillId="0" applyAlignment="1">
      <alignment horizontal="left" wrapText="1"/>
    </xf>
    <xf xfId="0" numFmtId="3" applyNumberFormat="1" borderId="1" applyBorder="1" fontId="7" applyFont="1" fillId="0" applyAlignment="1">
      <alignment horizontal="right"/>
    </xf>
    <xf xfId="0" numFmtId="3" applyNumberFormat="1" borderId="5" applyBorder="1" fontId="4" applyFont="1" fillId="0" applyAlignment="1">
      <alignment horizontal="right" wrapText="1"/>
    </xf>
    <xf xfId="0" numFmtId="3" applyNumberFormat="1" borderId="4" applyBorder="1" fontId="4" applyFont="1" fillId="0" applyAlignment="1">
      <alignment horizontal="center"/>
    </xf>
    <xf xfId="0" numFmtId="3" applyNumberFormat="1" borderId="5" applyBorder="1" fontId="4" applyFont="1" fillId="0" applyAlignment="1">
      <alignment horizontal="right"/>
    </xf>
    <xf xfId="0" numFmtId="49" applyNumberFormat="1" borderId="10" applyBorder="1" fontId="4" applyFont="1" fillId="3" applyFill="1" applyAlignment="1">
      <alignment horizontal="left"/>
    </xf>
    <xf xfId="0" numFmtId="0" borderId="10" applyBorder="1" fontId="4" applyFont="1" fillId="3" applyFill="1" applyAlignment="1">
      <alignment horizontal="left"/>
    </xf>
    <xf xfId="0" numFmtId="49" applyNumberFormat="1" borderId="25" applyBorder="1" fontId="4" applyFont="1" fillId="3" applyFill="1" applyAlignment="1">
      <alignment horizontal="left"/>
    </xf>
    <xf xfId="0" numFmtId="0" borderId="10" applyBorder="1" fontId="4" applyFont="1" fillId="3" applyFill="1" applyAlignment="1">
      <alignment horizontal="center"/>
    </xf>
    <xf xfId="0" numFmtId="0" borderId="4" applyBorder="1" fontId="3" applyFont="1" fillId="0" applyAlignment="1">
      <alignment horizontal="left"/>
    </xf>
    <xf xfId="0" numFmtId="49" applyNumberFormat="1" borderId="5" applyBorder="1" fontId="3" applyFont="1" fillId="0" applyAlignment="1">
      <alignment horizontal="left"/>
    </xf>
    <xf xfId="0" numFmtId="0" borderId="4" applyBorder="1" fontId="3" applyFont="1" fillId="0" applyAlignment="1">
      <alignment horizontal="center"/>
    </xf>
    <xf xfId="0" numFmtId="0" borderId="10" applyBorder="1" fontId="3" applyFont="1" fillId="3" applyFill="1" applyAlignment="1">
      <alignment horizontal="left"/>
    </xf>
    <xf xfId="0" numFmtId="49" applyNumberFormat="1" borderId="25" applyBorder="1" fontId="3" applyFont="1" fillId="3" applyFill="1" applyAlignment="1">
      <alignment horizontal="left"/>
    </xf>
    <xf xfId="0" numFmtId="0" borderId="10" applyBorder="1" fontId="3" applyFont="1" fillId="3" applyFill="1" applyAlignment="1">
      <alignment horizontal="center"/>
    </xf>
    <xf xfId="0" numFmtId="49" applyNumberFormat="1" borderId="26" applyBorder="1" fontId="4" applyFont="1" fillId="3" applyFill="1" applyAlignment="1">
      <alignment horizontal="left"/>
    </xf>
    <xf xfId="0" numFmtId="0" borderId="26" applyBorder="1" fontId="3" applyFont="1" fillId="3" applyFill="1" applyAlignment="1">
      <alignment horizontal="left"/>
    </xf>
    <xf xfId="0" numFmtId="49" applyNumberFormat="1" borderId="27" applyBorder="1" fontId="3" applyFont="1" fillId="3" applyFill="1" applyAlignment="1">
      <alignment horizontal="left"/>
    </xf>
    <xf xfId="0" numFmtId="0" borderId="26" applyBorder="1" fontId="3" applyFont="1" fillId="3" applyFill="1" applyAlignment="1">
      <alignment horizontal="center"/>
    </xf>
    <xf xfId="0" numFmtId="3" applyNumberFormat="1" borderId="0" fontId="0" fillId="0" applyAlignment="1">
      <alignment horizontal="right"/>
    </xf>
    <xf xfId="0" numFmtId="49" applyNumberFormat="1" borderId="0" fontId="0" fillId="0" applyAlignment="1">
      <alignment horizontal="left"/>
    </xf>
    <xf xfId="0" numFmtId="49" applyNumberFormat="1" borderId="0" fontId="0" fillId="0" applyAlignment="1">
      <alignment horizontal="general"/>
    </xf>
    <xf xfId="0" numFmtId="0" borderId="0" fontId="0" fillId="0" applyAlignment="1">
      <alignment horizontal="center"/>
    </xf>
    <xf xfId="0" numFmtId="3" applyNumberFormat="1" borderId="0" fontId="0" fillId="0" applyAlignment="1">
      <alignment horizontal="general"/>
    </xf>
    <xf xfId="0" numFmtId="3" applyNumberFormat="1" borderId="1" applyBorder="1" fontId="8" applyFont="1" fillId="0" applyAlignment="1">
      <alignment horizontal="left"/>
    </xf>
    <xf xfId="0" numFmtId="4" applyNumberFormat="1" borderId="1" applyBorder="1" fontId="1" applyFont="1" fillId="0" applyAlignment="1">
      <alignment horizontal="right"/>
    </xf>
    <xf xfId="0" numFmtId="0" borderId="0" fontId="0" fillId="0" applyAlignment="1">
      <alignment horizontal="left"/>
    </xf>
    <xf xfId="0" numFmtId="3" applyNumberFormat="1" borderId="28" applyBorder="1" fontId="9" applyFont="1" fillId="4" applyFill="1" applyAlignment="1">
      <alignment horizontal="center"/>
    </xf>
    <xf xfId="0" numFmtId="0" borderId="28" applyBorder="1" fontId="9" applyFont="1" fillId="4" applyFill="1" applyAlignment="1">
      <alignment horizontal="center"/>
    </xf>
    <xf xfId="0" numFmtId="4" applyNumberFormat="1" borderId="28" applyBorder="1" fontId="9" applyFont="1" fillId="4" applyFill="1" applyAlignment="1">
      <alignment horizontal="center"/>
    </xf>
    <xf xfId="0" numFmtId="0" borderId="29" applyBorder="1" fontId="1" applyFont="1" fillId="0" applyAlignment="1">
      <alignment horizontal="center"/>
    </xf>
    <xf xfId="0" numFmtId="0" borderId="30" applyBorder="1" fontId="1" applyFont="1" fillId="0" applyAlignment="1">
      <alignment horizontal="left"/>
    </xf>
    <xf xfId="0" numFmtId="0" borderId="30" applyBorder="1" fontId="1" applyFont="1" fillId="0" applyAlignment="1">
      <alignment horizontal="center"/>
    </xf>
    <xf xfId="0" numFmtId="4" applyNumberFormat="1" borderId="30" applyBorder="1" fontId="1" applyFont="1" fillId="0" applyAlignment="1">
      <alignment horizontal="right"/>
    </xf>
    <xf xfId="0" numFmtId="0" borderId="30" applyBorder="1" fontId="10" applyFont="1" fillId="0" applyAlignment="1">
      <alignment horizontal="left"/>
    </xf>
    <xf xfId="0" numFmtId="165" applyNumberFormat="1" borderId="30" applyBorder="1" fontId="1" applyFont="1" fillId="0" applyAlignment="1">
      <alignment horizontal="center"/>
    </xf>
    <xf xfId="0" numFmtId="4" applyNumberFormat="1" borderId="30" applyBorder="1" fontId="10" applyFont="1" fillId="0" applyAlignment="1">
      <alignment horizontal="left"/>
    </xf>
    <xf xfId="0" numFmtId="4" applyNumberFormat="1" borderId="0" fontId="0" fillId="0" applyAlignment="1">
      <alignment horizontal="general"/>
    </xf>
    <xf xfId="0" numFmtId="3" applyNumberFormat="1" borderId="1" applyBorder="1" fontId="11" applyFont="1" fillId="0" applyAlignment="1">
      <alignment horizontal="left"/>
    </xf>
    <xf xfId="0" numFmtId="3" applyNumberFormat="1" borderId="1" applyBorder="1" fontId="11" applyFont="1" fillId="0" applyAlignment="1">
      <alignment horizontal="right"/>
    </xf>
    <xf xfId="0" numFmtId="4" applyNumberFormat="1" borderId="0" fontId="0" fillId="0" applyAlignment="1">
      <alignment horizontal="general"/>
    </xf>
    <xf xfId="0" numFmtId="0" borderId="0" fontId="0" fillId="0" applyAlignment="1">
      <alignment horizontal="left"/>
    </xf>
    <xf xfId="0" numFmtId="0" borderId="31" applyBorder="1" fontId="12" applyFont="1" fillId="5" applyFill="1" applyAlignment="1">
      <alignment horizontal="left"/>
    </xf>
    <xf xfId="0" numFmtId="4" applyNumberFormat="1" borderId="31" applyBorder="1" fontId="12" applyFont="1" fillId="5" applyFill="1" applyAlignment="1">
      <alignment horizontal="left"/>
    </xf>
    <xf xfId="0" numFmtId="3" applyNumberFormat="1" borderId="29" applyBorder="1" fontId="1" applyFont="1" fillId="0" applyAlignment="1">
      <alignment horizontal="center"/>
    </xf>
    <xf xfId="0" numFmtId="3" applyNumberFormat="1" borderId="30" applyBorder="1" fontId="1" applyFont="1" fillId="0" applyAlignment="1">
      <alignment horizontal="left"/>
    </xf>
    <xf xfId="0" numFmtId="0" borderId="1" applyBorder="1" fontId="6" applyFont="1" fillId="0" applyAlignment="1">
      <alignment horizontal="left"/>
    </xf>
    <xf xfId="0" numFmtId="0" borderId="28" applyBorder="1" fontId="13" applyFont="1" fillId="5" applyFill="1" applyAlignment="1">
      <alignment horizontal="center"/>
    </xf>
    <xf xfId="0" numFmtId="4" applyNumberFormat="1" borderId="28" applyBorder="1" fontId="13" applyFont="1" fillId="5" applyFill="1" applyAlignment="1">
      <alignment horizontal="center"/>
    </xf>
    <xf xfId="0" numFmtId="1" applyNumberFormat="1" borderId="0" fontId="0" fillId="0" applyAlignment="1">
      <alignment horizontal="general"/>
    </xf>
    <xf xfId="0" numFmtId="166" applyNumberFormat="1" borderId="1" applyBorder="1" fontId="6" applyFont="1" fillId="0" applyAlignment="1">
      <alignment horizontal="left"/>
    </xf>
    <xf xfId="0" numFmtId="3" applyNumberFormat="1" borderId="0" fontId="0" fillId="0" applyAlignment="1">
      <alignment horizontal="center"/>
    </xf>
    <xf xfId="0" numFmtId="3" applyNumberFormat="1" borderId="1" applyBorder="1" fontId="6" applyFont="1" fillId="0" applyAlignment="1">
      <alignment horizontal="right"/>
    </xf>
    <xf xfId="0" numFmtId="166" applyNumberFormat="1" borderId="1" applyBorder="1" fontId="6" applyFont="1" fillId="0" applyAlignment="1">
      <alignment horizontal="left" wrapText="1"/>
    </xf>
    <xf xfId="0" numFmtId="4" applyNumberFormat="1" borderId="0" fontId="0" fillId="0" applyAlignment="1">
      <alignment horizontal="center"/>
    </xf>
    <xf xfId="0" numFmtId="4" applyNumberFormat="1" borderId="1" applyBorder="1" fontId="6" applyFont="1" fillId="0" applyAlignment="1">
      <alignment horizontal="right"/>
    </xf>
    <xf xfId="0" numFmtId="3" applyNumberFormat="1" borderId="1" applyBorder="1" fontId="6" applyFont="1" fillId="0" applyAlignment="1">
      <alignment horizontal="left"/>
    </xf>
    <xf xfId="0" numFmtId="3" applyNumberFormat="1" borderId="1" applyBorder="1" fontId="14" applyFont="1" fillId="0" applyAlignment="1">
      <alignment horizontal="left"/>
    </xf>
    <xf xfId="0" numFmtId="166" applyNumberFormat="1" borderId="1" applyBorder="1" fontId="14" applyFont="1" fillId="0" applyAlignment="1">
      <alignment horizontal="left"/>
    </xf>
    <xf xfId="0" numFmtId="166" applyNumberFormat="1" borderId="32" applyBorder="1" fontId="14" applyFont="1" fillId="0" applyAlignment="1">
      <alignment horizontal="left"/>
    </xf>
    <xf xfId="0" numFmtId="3" applyNumberFormat="1" borderId="33" applyBorder="1" fontId="14" applyFont="1" fillId="0" applyAlignment="1">
      <alignment horizontal="left"/>
    </xf>
    <xf xfId="0" numFmtId="3" applyNumberFormat="1" borderId="1" applyBorder="1" fontId="14" applyFont="1" fillId="0" applyAlignment="1">
      <alignment horizontal="right"/>
    </xf>
    <xf xfId="0" numFmtId="166" applyNumberFormat="1" borderId="1" applyBorder="1" fontId="14" applyFont="1" fillId="0" applyAlignment="1">
      <alignment horizontal="left" wrapText="1"/>
    </xf>
    <xf xfId="0" numFmtId="4" applyNumberFormat="1" borderId="33" applyBorder="1" fontId="14" applyFont="1" fillId="0" applyAlignment="1">
      <alignment horizontal="left"/>
    </xf>
    <xf xfId="0" numFmtId="4" applyNumberFormat="1" borderId="1" applyBorder="1" fontId="14" applyFont="1" fillId="0" applyAlignment="1">
      <alignment horizontal="right"/>
    </xf>
    <xf xfId="0" numFmtId="4" applyNumberFormat="1" borderId="1" applyBorder="1" fontId="14" applyFont="1" fillId="0" applyAlignment="1">
      <alignment horizontal="center"/>
    </xf>
    <xf xfId="0" numFmtId="3" applyNumberFormat="1" borderId="32" applyBorder="1" fontId="6" applyFont="1" fillId="0" applyAlignment="1">
      <alignment horizontal="right"/>
    </xf>
    <xf xfId="0" numFmtId="3" applyNumberFormat="1" borderId="33" applyBorder="1" fontId="6" applyFont="1" fillId="0" applyAlignment="1">
      <alignment horizontal="right"/>
    </xf>
    <xf xfId="0" numFmtId="3" applyNumberFormat="1" borderId="1" applyBorder="1" fontId="6" applyFont="1" fillId="0" applyAlignment="1">
      <alignment horizontal="right" wrapText="1"/>
    </xf>
    <xf xfId="0" numFmtId="0" borderId="0" fontId="0" fillId="0" applyAlignment="1">
      <alignment wrapText="1"/>
    </xf>
    <xf xfId="0" numFmtId="3" applyNumberFormat="1" borderId="1" applyBorder="1" fontId="15" applyFont="1" fillId="0" applyAlignment="1">
      <alignment horizontal="center" wrapText="1"/>
    </xf>
    <xf xfId="0" numFmtId="1" applyNumberFormat="1" borderId="1" applyBorder="1" fontId="15" applyFont="1" fillId="0" applyAlignment="1">
      <alignment horizontal="center" wrapText="1"/>
    </xf>
    <xf xfId="0" numFmtId="3" applyNumberFormat="1" borderId="33" applyBorder="1" fontId="15" applyFont="1" fillId="0" applyAlignment="1">
      <alignment horizontal="center" wrapText="1"/>
    </xf>
    <xf xfId="0" numFmtId="49" applyNumberFormat="1" borderId="1" applyBorder="1" fontId="15" applyFont="1" fillId="0" applyAlignment="1">
      <alignment horizontal="center" wrapText="1"/>
    </xf>
    <xf xfId="0" numFmtId="3" applyNumberFormat="1" borderId="32" applyBorder="1" fontId="15" applyFont="1" fillId="0" applyAlignment="1">
      <alignment horizontal="center" wrapText="1"/>
    </xf>
    <xf xfId="0" numFmtId="4" applyNumberFormat="1" borderId="33" applyBorder="1" fontId="15" applyFont="1" fillId="0" applyAlignment="1">
      <alignment horizontal="center" wrapText="1"/>
    </xf>
    <xf xfId="0" numFmtId="4" applyNumberFormat="1" borderId="1" applyBorder="1" fontId="15" applyFont="1" fillId="0" applyAlignment="1">
      <alignment horizontal="center" wrapText="1"/>
    </xf>
    <xf xfId="0" numFmtId="4" applyNumberFormat="1" borderId="32" applyBorder="1" fontId="15" applyFont="1" fillId="0" applyAlignment="1">
      <alignment horizontal="center" wrapText="1"/>
    </xf>
    <xf xfId="0" numFmtId="15" applyNumberFormat="1" borderId="1" applyBorder="1" fontId="6" applyFont="1" fillId="0" applyAlignment="1">
      <alignment horizontal="left"/>
    </xf>
    <xf xfId="0" numFmtId="15" applyNumberFormat="1" borderId="1" applyBorder="1" fontId="6" applyFont="1" fillId="0" applyAlignment="1">
      <alignment horizontal="center"/>
    </xf>
    <xf xfId="0" numFmtId="3" applyNumberFormat="1" borderId="1" applyBorder="1" fontId="16" applyFont="1" fillId="0" applyAlignment="1">
      <alignment horizontal="left"/>
    </xf>
    <xf xfId="0" numFmtId="3" applyNumberFormat="1" borderId="33" applyBorder="1" fontId="6" applyFont="1" fillId="0" applyAlignment="1">
      <alignment horizontal="center"/>
    </xf>
    <xf xfId="0" numFmtId="49" applyNumberFormat="1" borderId="1" applyBorder="1" fontId="6" applyFont="1" fillId="0" applyAlignment="1">
      <alignment horizontal="center"/>
    </xf>
    <xf xfId="0" numFmtId="3" applyNumberFormat="1" borderId="1" applyBorder="1" fontId="6" applyFont="1" fillId="0" applyAlignment="1">
      <alignment horizontal="center"/>
    </xf>
    <xf xfId="0" numFmtId="3" applyNumberFormat="1" borderId="1" applyBorder="1" fontId="6" applyFont="1" fillId="0" applyAlignment="1">
      <alignment horizontal="left" wrapText="1"/>
    </xf>
    <xf xfId="0" numFmtId="3" applyNumberFormat="1" borderId="33" applyBorder="1" fontId="6" applyFont="1" fillId="0" applyAlignment="1">
      <alignment horizontal="left"/>
    </xf>
    <xf xfId="0" numFmtId="4" applyNumberFormat="1" borderId="33" applyBorder="1" fontId="6" applyFont="1" fillId="0" applyAlignment="1">
      <alignment horizontal="center"/>
    </xf>
    <xf xfId="0" numFmtId="4" applyNumberFormat="1" borderId="1" applyBorder="1" fontId="6" applyFont="1" fillId="0" applyAlignment="1">
      <alignment horizontal="center"/>
    </xf>
    <xf xfId="0" numFmtId="49" applyNumberFormat="1" borderId="23" applyBorder="1" fontId="6" applyFont="1" fillId="0" applyAlignment="1">
      <alignment horizontal="left"/>
    </xf>
    <xf xfId="0" numFmtId="49" applyNumberFormat="1" borderId="1" applyBorder="1" fontId="6" applyFont="1" fillId="0" applyAlignment="1">
      <alignment horizontal="left"/>
    </xf>
    <xf xfId="0" numFmtId="49" applyNumberFormat="1" borderId="4" applyBorder="1" fontId="6" applyFont="1" fillId="0" applyAlignment="1">
      <alignment horizontal="left"/>
    </xf>
    <xf xfId="0" numFmtId="166" applyNumberFormat="1" borderId="1" applyBorder="1" fontId="6" applyFont="1" fillId="0" applyAlignment="1">
      <alignment horizontal="center"/>
    </xf>
    <xf xfId="0" numFmtId="3" applyNumberFormat="1" borderId="0" fontId="0" fillId="0" applyAlignment="1">
      <alignment horizontal="general" wrapText="1"/>
    </xf>
    <xf xfId="0" numFmtId="1" applyNumberFormat="1" borderId="0" fontId="0" fillId="0" applyAlignment="1">
      <alignment horizontal="general"/>
    </xf>
    <xf xfId="0" numFmtId="1" applyNumberFormat="1" borderId="0" fontId="0" fillId="0" applyAlignment="1">
      <alignment horizontal="center"/>
    </xf>
    <xf xfId="0" numFmtId="3" applyNumberFormat="1" borderId="0" fontId="0" fillId="0" applyAlignment="1">
      <alignment horizontal="center"/>
    </xf>
    <xf xfId="0" numFmtId="3" applyNumberFormat="1" borderId="0" fontId="0" fillId="0" applyAlignment="1">
      <alignment horizontal="general" wrapText="1"/>
    </xf>
    <xf xfId="0" numFmtId="4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sharedStrings.xml" Type="http://schemas.openxmlformats.org/officeDocument/2006/relationships/sharedStrings" Id="rId7"/><Relationship Target="styles.xml" Type="http://schemas.openxmlformats.org/officeDocument/2006/relationships/styles" Id="rId8"/><Relationship Target="theme/theme1.xml" Type="http://schemas.openxmlformats.org/officeDocument/2006/relationships/theme" Id="rId9"/><Relationship Target="vbaProject.bin" Type="http://schemas.microsoft.com/office/2006/relationships/vbaProject" Id="rId10"/></Relationships>
</file>

<file path=xl/tables/table1.xml><?xml version="1.0" encoding="utf-8"?>
<table xmlns="http://schemas.openxmlformats.org/spreadsheetml/2006/main" ref="B5:F64" displayName="Tabla2" name="Tabla2" id="1" totalsRowShown="0">
  <autoFilter ref="B5:F64"/>
  <tableColumns count="5">
    <tableColumn name="Categoría de Compra o Servicio" id="1"/>
    <tableColumn name="Aplica Detracción" id="2"/>
    <tableColumn name="%" id="3"/>
    <tableColumn name="Observaciones" id="4"/>
    <tableColumn name="Aplica" id="5"/>
  </tableColumns>
  <tableStyleInfo name="TableStyleLight1" showColumnStripes="0" showRowStripes="1" showLastColumn="0" showFirstColumn="0"/>
</table>
</file>

<file path=xl/tables/table2.xml><?xml version="1.0" encoding="utf-8"?>
<table xmlns="http://schemas.openxmlformats.org/spreadsheetml/2006/main" ref="B299:F317" displayName="Tabla6" name="Tabla6" id="2" totalsRowShown="0">
  <autoFilter ref="B299:F317"/>
  <tableColumns count="5">
    <tableColumn name="RUC / DNI" id="1"/>
    <tableColumn name="RAZON SOCIAL" id="2"/>
    <tableColumn name="BANCO" id="3"/>
    <tableColumn name="CUENTA" id="4"/>
    <tableColumn name="MONEDA" id="5"/>
  </tableColumns>
  <tableStyleInfo name="TableStyleLight1" showColumnStripes="0" showRowStripes="1" showLastColumn="0" showFirstColumn="0"/>
</table>
</file>

<file path=xl/tables/table3.xml><?xml version="1.0" encoding="utf-8"?>
<table xmlns="http://schemas.openxmlformats.org/spreadsheetml/2006/main" ref="B3:F267" displayName="Tabla1" name="Tabla1" id="3" totalsRowShown="0">
  <autoFilter ref="B3:F267"/>
  <tableColumns count="5">
    <tableColumn name="RUC / DNI" id="1"/>
    <tableColumn name="RAZON SOCIAL" id="2"/>
    <tableColumn name="BANCO" id="3"/>
    <tableColumn name="CUENTA" id="4"/>
    <tableColumn name="MONEDA" id="5"/>
  </tableColumns>
  <tableStyleInfo name="TableStyleLight1" showColumnStripes="0" showRowStripes="1" showLastColumn="0" showFirstColumn="0"/>
</table>
</file>

<file path=xl/tables/table4.xml><?xml version="1.0" encoding="utf-8"?>
<table xmlns="http://schemas.openxmlformats.org/spreadsheetml/2006/main" ref="Q34:Q40" displayName="Tabla4" name="Tabla4" id="4" totalsRowShown="0">
  <autoFilter ref="Q34:Q40"/>
  <tableColumns count="1">
    <tableColumn name="ESTADO" id="1"/>
  </tableColumns>
  <tableStyleInfo name="TableStyleLight1" showColumnStripes="0" showRowStripes="1" showLastColumn="0" showFirstColumn="0"/>
</table>
</file>

<file path=xl/tables/table5.xml><?xml version="1.0" encoding="utf-8"?>
<table xmlns="http://schemas.openxmlformats.org/spreadsheetml/2006/main" ref="M4:N87" displayName="Tabla5" name="Tabla5" id="5" totalsRowShown="0">
  <autoFilter ref="M4:N87"/>
  <tableColumns count="2">
    <tableColumn name="CC" id="1"/>
    <tableColumn name="NOMBRE" id="2"/>
  </tableColumns>
  <tableStyleInfo name="TableStyleLight1" showColumnStripes="0" showRowStripes="1" showLastColumn="0" showFirstColumn="0"/>
</table>
</file>

<file path=xl/tables/table6.xml><?xml version="1.0" encoding="utf-8"?>
<table xmlns="http://schemas.openxmlformats.org/spreadsheetml/2006/main" ref="A7:Z99" displayName="Tabla3" name="Tabla3" id="6" totalsRowShown="0">
  <autoFilter ref="A7:Z99"/>
  <tableColumns count="26">
    <tableColumn name="ID" id="1"/>
    <tableColumn name="FECHA DE RECEPCIÓN" id="2"/>
    <tableColumn name="FECHA DOCUMENTO" id="3"/>
    <tableColumn name="CENTRO DE COSTOS" id="4"/>
    <tableColumn name="CORREO USUARIO SOLICITANTE" id="5"/>
    <tableColumn name="TIPO DOI" id="6"/>
    <tableColumn name="NRO. DOI" id="7"/>
    <tableColumn name="PROVEEDOR" id="8"/>
    <tableColumn name="TIPO DOCUMENTO" id="9"/>
    <tableColumn name="NRO. DOCUMENTO" id="10"/>
    <tableColumn name="LINK DE DOCUMENTO" id="11"/>
    <tableColumn name="DESCRIPCIÓN" id="12"/>
    <tableColumn name="TIPO DE BIEN O SERVICIO" id="13"/>
    <tableColumn name="TIPO DE ABONO" id="14"/>
    <tableColumn name="NRO. CUENTA" id="15"/>
    <tableColumn name="MONEDA" id="16"/>
    <tableColumn name="TIPO DE CAMBIO" id="17"/>
    <tableColumn name="MONTO BRUTO" id="18"/>
    <tableColumn name="MONTO BRUTO USD-SOLES" id="19"/>
    <tableColumn name="DETRACCION" id="20"/>
    <tableColumn name="MONTO NETO A PAGAR" id="21"/>
    <tableColumn name="ESTADO DEL REQUERIMIENTO" id="22"/>
    <tableColumn name="FECHA DE PAGO" id="23"/>
    <tableColumn name="MONTO PAGADO" id="24"/>
    <tableColumn name="SALDO POR PAGAR" id="25"/>
    <tableColumn name="TIPO DE PAGO" id="26"/>
  </tableColumns>
  <tableStyleInfo name="TableStyleLight1" showColumnStripes="0" showRowStripes="1" showLastColumn="0" showFirstColumn="0"/>
</table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Target="../tables/table6.xml" Type="http://schemas.openxmlformats.org/officeDocument/2006/relationships/table" Id="rId1"/></Relationships>
</file>

<file path=xl/worksheets/_rels/sheet5.xml.rels><?xml version="1.0" encoding="UTF-8" standalone="yes"?><Relationships xmlns="http://schemas.openxmlformats.org/package/2006/relationships"><Relationship Target="../tables/table2.xml" Type="http://schemas.openxmlformats.org/officeDocument/2006/relationships/table" Id="rId1"/><Relationship Target="../tables/table3.xml" Type="http://schemas.openxmlformats.org/officeDocument/2006/relationships/table" Id="rId2"/><Relationship Target="../tables/table4.xml" Type="http://schemas.openxmlformats.org/officeDocument/2006/relationships/table" Id="rId3"/><Relationship Target="../tables/table5.xml" Type="http://schemas.openxmlformats.org/officeDocument/2006/relationships/table" Id="rId4"/></Relationships>
</file>

<file path=xl/worksheets/_rels/sheet6.xml.rels><?xml version="1.0" encoding="UTF-8" standalone="yes"?><Relationships xmlns="http://schemas.openxmlformats.org/package/2006/relationships"><Relationship Target="../tables/table1.xml" Type="http://schemas.openxmlformats.org/officeDocument/2006/relationships/table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Z106"/>
  <sheetViews>
    <sheetView workbookViewId="0" tabSelected="1"/>
  </sheetViews>
  <sheetFormatPr defaultRowHeight="15" x14ac:dyDescent="0.25"/>
  <cols>
    <col min="1" max="1" style="87" width="6.576428571428571" customWidth="1" bestFit="1"/>
    <col min="2" max="2" style="157" width="23.005" customWidth="1" bestFit="1"/>
    <col min="3" max="3" style="158" width="23.005" customWidth="1" bestFit="1"/>
    <col min="4" max="4" style="87" width="36.86214285714286" customWidth="1" bestFit="1"/>
    <col min="5" max="5" style="87" width="40.57642857142857" customWidth="1" bestFit="1"/>
    <col min="6" max="6" style="159" width="25.290714285714284" customWidth="1" bestFit="1"/>
    <col min="7" max="7" style="85" width="21.290714285714284" customWidth="1" bestFit="1"/>
    <col min="8" max="8" style="159" width="61.14785714285715" customWidth="1" bestFit="1"/>
    <col min="9" max="9" style="159" width="31.14785714285714" customWidth="1" bestFit="1"/>
    <col min="10" max="10" style="87" width="34.71928571428572" customWidth="1" bestFit="1"/>
    <col min="11" max="11" style="87" width="70.7192857142857" customWidth="1" bestFit="1"/>
    <col min="12" max="12" style="160" width="88.005" customWidth="1" bestFit="1"/>
    <col min="13" max="13" style="159" width="56.86214285714286" customWidth="1" bestFit="1"/>
    <col min="14" max="14" style="87" width="25.14785714285714" customWidth="1" bestFit="1"/>
    <col min="15" max="15" style="87" width="27.719285714285714" customWidth="1" bestFit="1"/>
    <col min="16" max="16" style="87" width="21.290714285714284" customWidth="1" bestFit="1"/>
    <col min="17" max="17" style="104" width="26.005" customWidth="1" bestFit="1"/>
    <col min="18" max="18" style="104" width="30.14785714285714" customWidth="1" bestFit="1"/>
    <col min="19" max="19" style="104" width="29.433571428571426" customWidth="1" bestFit="1"/>
    <col min="20" max="20" style="104" width="27.005" customWidth="1" bestFit="1"/>
    <col min="21" max="21" style="104" width="30.14785714285714" customWidth="1" bestFit="1"/>
    <col min="22" max="22" style="87" width="46.29071428571429" customWidth="1" bestFit="1"/>
    <col min="23" max="23" style="158" width="23.005" customWidth="1" bestFit="1"/>
    <col min="24" max="24" style="161" width="21.576428571428572" customWidth="1" bestFit="1"/>
    <col min="25" max="25" style="161" width="24.862142857142857" customWidth="1" bestFit="1"/>
    <col min="26" max="26" style="87" width="28.719285714285714" customWidth="1" bestFit="1"/>
  </cols>
  <sheetData>
    <row x14ac:dyDescent="0.25" r="1" customHeight="1" ht="19.5">
      <c r="A1" s="11"/>
      <c r="B1" s="113"/>
      <c r="C1" s="114"/>
      <c r="D1" s="114"/>
      <c r="E1" s="114"/>
      <c r="F1" s="115"/>
      <c r="G1" s="116"/>
      <c r="H1" s="114"/>
      <c r="I1" s="114"/>
      <c r="J1" s="114"/>
      <c r="K1" s="114"/>
      <c r="L1" s="117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8"/>
      <c r="Y1" s="118"/>
      <c r="Z1" s="11"/>
    </row>
    <row x14ac:dyDescent="0.25" r="2" customHeight="1" ht="19.5">
      <c r="A2" s="11"/>
      <c r="B2" s="113"/>
      <c r="C2" s="114"/>
      <c r="D2" s="114"/>
      <c r="E2" s="114"/>
      <c r="F2" s="115"/>
      <c r="G2" s="116"/>
      <c r="H2" s="114"/>
      <c r="I2" s="114"/>
      <c r="J2" s="114"/>
      <c r="K2" s="114"/>
      <c r="L2" s="117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8"/>
      <c r="Y2" s="118"/>
      <c r="Z2" s="11"/>
    </row>
    <row x14ac:dyDescent="0.25" r="3" customHeight="1" ht="19.5">
      <c r="A3" s="11"/>
      <c r="B3" s="113"/>
      <c r="C3" s="114"/>
      <c r="D3" s="114"/>
      <c r="E3" s="114"/>
      <c r="F3" s="115"/>
      <c r="G3" s="116"/>
      <c r="H3" s="114"/>
      <c r="I3" s="114"/>
      <c r="J3" s="114"/>
      <c r="K3" s="114"/>
      <c r="L3" s="117"/>
      <c r="M3" s="114"/>
      <c r="N3" s="114"/>
      <c r="O3" s="114"/>
      <c r="P3" s="114"/>
      <c r="Q3" s="114"/>
      <c r="R3" s="114"/>
      <c r="S3" s="114"/>
      <c r="T3" s="119"/>
      <c r="U3" s="114"/>
      <c r="V3" s="114"/>
      <c r="W3" s="114"/>
      <c r="X3" s="118"/>
      <c r="Y3" s="118"/>
      <c r="Z3" s="11"/>
    </row>
    <row x14ac:dyDescent="0.25" r="4" customHeight="1" ht="19.5">
      <c r="A4" s="120" t="s">
        <v>1065</v>
      </c>
      <c r="B4" s="113"/>
      <c r="C4" s="114"/>
      <c r="D4" s="114"/>
      <c r="E4" s="114"/>
      <c r="F4" s="115"/>
      <c r="G4" s="116"/>
      <c r="H4" s="114"/>
      <c r="I4" s="114"/>
      <c r="J4" s="114"/>
      <c r="K4" s="114"/>
      <c r="L4" s="117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8"/>
      <c r="Y4" s="118"/>
      <c r="Z4" s="11"/>
    </row>
    <row x14ac:dyDescent="0.25" r="5" customHeight="1" ht="19.5">
      <c r="A5" s="121" t="s">
        <v>1066</v>
      </c>
      <c r="B5" s="122"/>
      <c r="C5" s="122"/>
      <c r="D5" s="122"/>
      <c r="E5" s="123"/>
      <c r="F5" s="124" t="s">
        <v>1067</v>
      </c>
      <c r="G5" s="125"/>
      <c r="H5" s="122"/>
      <c r="I5" s="122"/>
      <c r="J5" s="122"/>
      <c r="K5" s="122"/>
      <c r="L5" s="126"/>
      <c r="M5" s="123"/>
      <c r="N5" s="121" t="s">
        <v>1068</v>
      </c>
      <c r="O5" s="122"/>
      <c r="P5" s="122"/>
      <c r="Q5" s="127" t="s">
        <v>1069</v>
      </c>
      <c r="R5" s="122"/>
      <c r="S5" s="122"/>
      <c r="T5" s="122"/>
      <c r="U5" s="123"/>
      <c r="V5" s="121" t="s">
        <v>1070</v>
      </c>
      <c r="W5" s="122"/>
      <c r="X5" s="128"/>
      <c r="Y5" s="128"/>
      <c r="Z5" s="129"/>
    </row>
    <row x14ac:dyDescent="0.25" r="6" customHeight="1" ht="19.5">
      <c r="A6" s="116">
        <v>1</v>
      </c>
      <c r="B6" s="116">
        <f>+A6+1</f>
      </c>
      <c r="C6" s="116">
        <f>+B6+1</f>
      </c>
      <c r="D6" s="116">
        <f>+C6+1</f>
      </c>
      <c r="E6" s="130">
        <f>+D6+1</f>
      </c>
      <c r="F6" s="131">
        <f>+E6+1</f>
      </c>
      <c r="G6" s="116">
        <f>+F6+1</f>
      </c>
      <c r="H6" s="116">
        <f>+G6+1</f>
      </c>
      <c r="I6" s="116">
        <f>+H6+1</f>
      </c>
      <c r="J6" s="116">
        <f>+I6+1</f>
      </c>
      <c r="K6" s="116">
        <f>+J6+1</f>
      </c>
      <c r="L6" s="132">
        <f>+K6+1</f>
      </c>
      <c r="M6" s="130">
        <f>+L6+1</f>
      </c>
      <c r="N6" s="116">
        <f>+M6+1</f>
      </c>
      <c r="O6" s="116">
        <f>+N6+1</f>
      </c>
      <c r="P6" s="116">
        <f>+O6+1</f>
      </c>
      <c r="Q6" s="131">
        <f>+P6+1</f>
      </c>
      <c r="R6" s="116">
        <f>+Q6+1</f>
      </c>
      <c r="S6" s="116">
        <f>+R6+1</f>
      </c>
      <c r="T6" s="116">
        <f>+S6+1</f>
      </c>
      <c r="U6" s="130">
        <f>+T6+1</f>
      </c>
      <c r="V6" s="116">
        <f>+U6+1</f>
      </c>
      <c r="W6" s="116">
        <f>+V6+1</f>
      </c>
      <c r="X6" s="116">
        <f>+W6+1</f>
      </c>
      <c r="Y6" s="116">
        <f>+X6+1</f>
      </c>
      <c r="Z6" s="116">
        <f>+Y6+1</f>
      </c>
    </row>
    <row x14ac:dyDescent="0.25" r="7" customHeight="1" ht="19.5" customFormat="1" s="133">
      <c r="A7" s="134" t="s">
        <v>1071</v>
      </c>
      <c r="B7" s="135" t="s">
        <v>1072</v>
      </c>
      <c r="C7" s="135" t="s">
        <v>1073</v>
      </c>
      <c r="D7" s="134" t="s">
        <v>1074</v>
      </c>
      <c r="E7" s="134" t="s">
        <v>1075</v>
      </c>
      <c r="F7" s="136" t="s">
        <v>1076</v>
      </c>
      <c r="G7" s="137" t="s">
        <v>1077</v>
      </c>
      <c r="H7" s="134" t="s">
        <v>1078</v>
      </c>
      <c r="I7" s="134" t="s">
        <v>1079</v>
      </c>
      <c r="J7" s="134" t="s">
        <v>1080</v>
      </c>
      <c r="K7" s="134" t="s">
        <v>1081</v>
      </c>
      <c r="L7" s="134" t="s">
        <v>1082</v>
      </c>
      <c r="M7" s="138" t="s">
        <v>1083</v>
      </c>
      <c r="N7" s="134" t="s">
        <v>1084</v>
      </c>
      <c r="O7" s="134" t="s">
        <v>1085</v>
      </c>
      <c r="P7" s="134" t="s">
        <v>126</v>
      </c>
      <c r="Q7" s="139" t="s">
        <v>1086</v>
      </c>
      <c r="R7" s="140" t="s">
        <v>1087</v>
      </c>
      <c r="S7" s="140" t="s">
        <v>1088</v>
      </c>
      <c r="T7" s="140" t="s">
        <v>1089</v>
      </c>
      <c r="U7" s="141" t="s">
        <v>1090</v>
      </c>
      <c r="V7" s="134" t="s">
        <v>122</v>
      </c>
      <c r="W7" s="135" t="s">
        <v>1091</v>
      </c>
      <c r="X7" s="140" t="s">
        <v>1092</v>
      </c>
      <c r="Y7" s="140" t="s">
        <v>1093</v>
      </c>
      <c r="Z7" s="134" t="s">
        <v>1094</v>
      </c>
    </row>
    <row x14ac:dyDescent="0.25" r="8" customHeight="1" ht="18.75">
      <c r="A8" s="116">
        <v>1</v>
      </c>
      <c r="B8" s="142">
        <v>46188</v>
      </c>
      <c r="C8" s="143">
        <v>46186</v>
      </c>
      <c r="D8" s="120" t="s">
        <v>1095</v>
      </c>
      <c r="E8" s="144" t="s">
        <v>1047</v>
      </c>
      <c r="F8" s="145" t="s">
        <v>149</v>
      </c>
      <c r="G8" s="146" t="s">
        <v>948</v>
      </c>
      <c r="H8" s="120">
        <f>IFERROR(+VLOOKUP(G8,Tabla1[#All],2,FALSE),"-")</f>
      </c>
      <c r="I8" s="147" t="s">
        <v>230</v>
      </c>
      <c r="J8" s="120" t="s">
        <v>1096</v>
      </c>
      <c r="K8" s="11"/>
      <c r="L8" s="148" t="s">
        <v>1097</v>
      </c>
      <c r="M8" s="120" t="s">
        <v>1098</v>
      </c>
      <c r="N8" s="149">
        <f>IF(Tabla3[[#This Row], [NRO. DOI]]="","",(IF(Tabla3[[#This Row], [MONEDA]]="Soles",(+VLOOKUP(G8,Tabla1[#All],3,FALSE)),(+VLOOKUP(G8,Tabla6[#All],3,FALSE)))))</f>
      </c>
      <c r="O8" s="120">
        <f>IF(Tabla3[[#This Row], [NRO. DOI]]="","",(IF(Tabla3[[#This Row], [MONEDA]]="Soles",(+VLOOKUP(G8,Tabla1[#All],4,FALSE)),(+VLOOKUP(G8,Tabla6[#All],4,FALSE)))))</f>
      </c>
      <c r="P8" s="147" t="s">
        <v>127</v>
      </c>
      <c r="Q8" s="150"/>
      <c r="R8" s="119">
        <v>2700</v>
      </c>
      <c r="S8" s="119">
        <f>+IF(Tabla3[[#This Row], [MONEDA]]="DOLARES",Tabla3[[#This Row], [MONTO BRUTO]]*Tabla3[[#This Row], [TIPO DE CAMBIO]],0)</f>
      </c>
      <c r="T8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8" s="119">
        <f>IF(Tabla3[[#This Row], [TIPO DE BIEN O SERVICIO]]="",0,+Tabla3[[#This Row], [MONTO BRUTO]]-Tabla3[[#This Row], [DETRACCION]])</f>
      </c>
      <c r="V8" s="149" t="s">
        <v>312</v>
      </c>
      <c r="W8" s="142"/>
      <c r="X8" s="119">
        <f>IF(Tabla3[[#This Row], [TIPO DE BIEN O SERVICIO]]="",0,+Tabla3[[#This Row], [MONTO BRUTO]]-Tabla3[[#This Row], [DETRACCION]])</f>
      </c>
      <c r="Y8" s="119">
        <f>+Tabla3[[#This Row], [MONTO NETO A PAGAR]]-Tabla3[[#This Row], [MONTO PAGADO]]</f>
      </c>
      <c r="Z8" s="147">
        <f>IF(Tabla3[[#This Row], [MONTO PAGADO]]=0,"",(+IF(Tabla3[[#This Row], [SALDO POR PAGAR]]=0,"TOTAL","PARCIAL")))</f>
      </c>
    </row>
    <row x14ac:dyDescent="0.25" r="9" customHeight="1" ht="18.75">
      <c r="A9" s="116">
        <v>2</v>
      </c>
      <c r="B9" s="142">
        <v>46168</v>
      </c>
      <c r="C9" s="143">
        <v>46168</v>
      </c>
      <c r="D9" s="120" t="s">
        <v>1099</v>
      </c>
      <c r="E9" s="144" t="s">
        <v>1047</v>
      </c>
      <c r="F9" s="145" t="s">
        <v>149</v>
      </c>
      <c r="G9" s="146" t="s">
        <v>951</v>
      </c>
      <c r="H9" s="120">
        <f>IFERROR(+VLOOKUP(G9,Tabla1[#All],2,FALSE),"-")</f>
      </c>
      <c r="I9" s="147" t="s">
        <v>230</v>
      </c>
      <c r="J9" s="120" t="s">
        <v>1045</v>
      </c>
      <c r="K9" s="11"/>
      <c r="L9" s="148" t="s">
        <v>1046</v>
      </c>
      <c r="M9" s="120" t="s">
        <v>1098</v>
      </c>
      <c r="N9" s="149">
        <f>IF(Tabla3[[#This Row], [NRO. DOI]]="","",(IF(Tabla3[[#This Row], [MONEDA]]="Soles",(+VLOOKUP(G9,Tabla1[#All],3,FALSE)),(+VLOOKUP(G9,Tabla6[#All],3,FALSE)))))</f>
      </c>
      <c r="O9" s="120">
        <f>IF(Tabla3[[#This Row], [NRO. DOI]]="","",(IF(Tabla3[[#This Row], [MONEDA]]="Soles",(+VLOOKUP(G9,Tabla1[#All],4,FALSE)),(+VLOOKUP(G9,Tabla6[#All],4,FALSE)))))</f>
      </c>
      <c r="P9" s="147" t="s">
        <v>128</v>
      </c>
      <c r="Q9" s="150">
        <v>3.5</v>
      </c>
      <c r="R9" s="119">
        <v>1652</v>
      </c>
      <c r="S9" s="119">
        <f>+IF(Tabla3[[#This Row], [MONEDA]]="DOLARES",Tabla3[[#This Row], [MONTO BRUTO]]*Tabla3[[#This Row], [TIPO DE CAMBIO]],0)</f>
      </c>
      <c r="T9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9" s="119">
        <f>IF(Tabla3[[#This Row], [TIPO DE BIEN O SERVICIO]]="",0,+Tabla3[[#This Row], [MONTO BRUTO]]-Tabla3[[#This Row], [DETRACCION]])</f>
      </c>
      <c r="V9" s="149" t="s">
        <v>123</v>
      </c>
      <c r="W9" s="142"/>
      <c r="X9" s="119">
        <f>IF(Tabla3[[#This Row], [TIPO DE BIEN O SERVICIO]]="",0,+Tabla3[[#This Row], [MONTO BRUTO]]-Tabla3[[#This Row], [DETRACCION]])</f>
      </c>
      <c r="Y9" s="119">
        <f>+Tabla3[[#This Row], [MONTO NETO A PAGAR]]-Tabla3[[#This Row], [MONTO PAGADO]]</f>
      </c>
      <c r="Z9" s="147">
        <f>IF(Tabla3[[#This Row], [MONTO PAGADO]]=0,"",(+IF(Tabla3[[#This Row], [SALDO POR PAGAR]]=0,"TOTAL","PARCIAL")))</f>
      </c>
    </row>
    <row x14ac:dyDescent="0.25" r="10" customHeight="1" ht="18.75">
      <c r="A10" s="116">
        <v>3</v>
      </c>
      <c r="B10" s="142">
        <v>46179</v>
      </c>
      <c r="C10" s="143">
        <v>46176</v>
      </c>
      <c r="D10" s="120" t="s">
        <v>1099</v>
      </c>
      <c r="E10" s="144" t="s">
        <v>1047</v>
      </c>
      <c r="F10" s="145" t="s">
        <v>149</v>
      </c>
      <c r="G10" s="146" t="s">
        <v>886</v>
      </c>
      <c r="H10" s="120">
        <f>IFERROR(+VLOOKUP(G10,Tabla1[#All],2,FALSE),"-")</f>
      </c>
      <c r="I10" s="147" t="s">
        <v>230</v>
      </c>
      <c r="J10" s="120" t="s">
        <v>1100</v>
      </c>
      <c r="K10" s="11"/>
      <c r="L10" s="148" t="s">
        <v>1101</v>
      </c>
      <c r="M10" s="120" t="s">
        <v>1102</v>
      </c>
      <c r="N10" s="149">
        <f>IF(Tabla3[[#This Row], [NRO. DOI]]="","",(IF(Tabla3[[#This Row], [MONEDA]]="Soles",(+VLOOKUP(G10,Tabla1[#All],3,FALSE)),(+VLOOKUP(G10,Tabla6[#All],3,FALSE)))))</f>
      </c>
      <c r="O10" s="120">
        <f>IF(Tabla3[[#This Row], [NRO. DOI]]="","",(IF(Tabla3[[#This Row], [MONEDA]]="Soles",(+VLOOKUP(G10,Tabla1[#All],4,FALSE)),(+VLOOKUP(G10,Tabla6[#All],4,FALSE)))))</f>
      </c>
      <c r="P10" s="147" t="s">
        <v>128</v>
      </c>
      <c r="Q10" s="150">
        <v>3.5</v>
      </c>
      <c r="R10" s="119">
        <v>1357</v>
      </c>
      <c r="S10" s="119">
        <f>+IF(Tabla3[[#This Row], [MONEDA]]="DOLARES",Tabla3[[#This Row], [MONTO BRUTO]]*Tabla3[[#This Row], [TIPO DE CAMBIO]],0)</f>
      </c>
      <c r="T10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0" s="119">
        <f>IF(Tabla3[[#This Row], [TIPO DE BIEN O SERVICIO]]="",0,+Tabla3[[#This Row], [MONTO BRUTO]]-Tabla3[[#This Row], [DETRACCION]])</f>
      </c>
      <c r="V10" s="149" t="s">
        <v>312</v>
      </c>
      <c r="W10" s="142"/>
      <c r="X10" s="119">
        <f>IF(Tabla3[[#This Row], [TIPO DE BIEN O SERVICIO]]="",0,+Tabla3[[#This Row], [MONTO BRUTO]]-Tabla3[[#This Row], [DETRACCION]])</f>
      </c>
      <c r="Y10" s="119">
        <f>+Tabla3[[#This Row], [MONTO NETO A PAGAR]]-Tabla3[[#This Row], [MONTO PAGADO]]</f>
      </c>
      <c r="Z10" s="147">
        <f>IF(Tabla3[[#This Row], [MONTO PAGADO]]=0,"",(+IF(Tabla3[[#This Row], [SALDO POR PAGAR]]=0,"TOTAL","PARCIAL")))</f>
      </c>
    </row>
    <row x14ac:dyDescent="0.25" r="11" customHeight="1" ht="18.75">
      <c r="A11" s="116">
        <v>4</v>
      </c>
      <c r="B11" s="142">
        <v>46182</v>
      </c>
      <c r="C11" s="143">
        <v>46182</v>
      </c>
      <c r="D11" s="120" t="s">
        <v>1099</v>
      </c>
      <c r="E11" s="144" t="s">
        <v>1047</v>
      </c>
      <c r="F11" s="145" t="s">
        <v>149</v>
      </c>
      <c r="G11" s="146" t="s">
        <v>662</v>
      </c>
      <c r="H11" s="120">
        <f>IFERROR(+VLOOKUP(G11,Tabla1[#All],2,FALSE),"-")</f>
      </c>
      <c r="I11" s="147" t="s">
        <v>230</v>
      </c>
      <c r="J11" s="120" t="s">
        <v>1103</v>
      </c>
      <c r="K11" s="11"/>
      <c r="L11" s="148" t="s">
        <v>1104</v>
      </c>
      <c r="M11" s="120" t="s">
        <v>1105</v>
      </c>
      <c r="N11" s="149">
        <f>IF(Tabla3[[#This Row], [NRO. DOI]]="","",(IF(Tabla3[[#This Row], [MONEDA]]="Soles",(+VLOOKUP(G11,Tabla1[#All],3,FALSE)),(+VLOOKUP(G11,Tabla6[#All],3,FALSE)))))</f>
      </c>
      <c r="O11" s="120">
        <f>IF(Tabla3[[#This Row], [NRO. DOI]]="","",(IF(Tabla3[[#This Row], [MONEDA]]="Soles",(+VLOOKUP(G11,Tabla1[#All],4,FALSE)),(+VLOOKUP(G11,Tabla6[#All],4,FALSE)))))</f>
      </c>
      <c r="P11" s="147" t="s">
        <v>127</v>
      </c>
      <c r="Q11" s="150"/>
      <c r="R11" s="119">
        <v>739</v>
      </c>
      <c r="S11" s="119">
        <f>+IF(Tabla3[[#This Row], [MONEDA]]="DOLARES",Tabla3[[#This Row], [MONTO BRUTO]]*Tabla3[[#This Row], [TIPO DE CAMBIO]],0)</f>
      </c>
      <c r="T11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1" s="119">
        <f>IF(Tabla3[[#This Row], [TIPO DE BIEN O SERVICIO]]="",0,+Tabla3[[#This Row], [MONTO BRUTO]]-Tabla3[[#This Row], [DETRACCION]])</f>
      </c>
      <c r="V11" s="149" t="s">
        <v>312</v>
      </c>
      <c r="W11" s="142"/>
      <c r="X11" s="119">
        <f>IF(Tabla3[[#This Row], [TIPO DE BIEN O SERVICIO]]="",0,+Tabla3[[#This Row], [MONTO BRUTO]]-Tabla3[[#This Row], [DETRACCION]])</f>
      </c>
      <c r="Y11" s="119">
        <f>+Tabla3[[#This Row], [MONTO NETO A PAGAR]]-Tabla3[[#This Row], [MONTO PAGADO]]</f>
      </c>
      <c r="Z11" s="147">
        <f>IF(Tabla3[[#This Row], [MONTO PAGADO]]=0,"",(+IF(Tabla3[[#This Row], [SALDO POR PAGAR]]=0,"TOTAL","PARCIAL")))</f>
      </c>
    </row>
    <row x14ac:dyDescent="0.25" r="12" customHeight="1" ht="18.75">
      <c r="A12" s="116">
        <v>5</v>
      </c>
      <c r="B12" s="142">
        <v>46185</v>
      </c>
      <c r="C12" s="143">
        <v>46185</v>
      </c>
      <c r="D12" s="120" t="s">
        <v>1099</v>
      </c>
      <c r="E12" s="144" t="s">
        <v>1047</v>
      </c>
      <c r="F12" s="145" t="s">
        <v>149</v>
      </c>
      <c r="G12" s="146" t="s">
        <v>916</v>
      </c>
      <c r="H12" s="120">
        <f>IFERROR(+VLOOKUP(G12,Tabla1[#All],2,FALSE),"-")</f>
      </c>
      <c r="I12" s="147" t="s">
        <v>230</v>
      </c>
      <c r="J12" s="120" t="s">
        <v>1106</v>
      </c>
      <c r="K12" s="11"/>
      <c r="L12" s="148" t="s">
        <v>1107</v>
      </c>
      <c r="M12" s="120" t="s">
        <v>1102</v>
      </c>
      <c r="N12" s="149">
        <f>IF(Tabla3[[#This Row], [NRO. DOI]]="","",(IF(Tabla3[[#This Row], [MONEDA]]="Soles",(+VLOOKUP(G12,Tabla1[#All],3,FALSE)),(+VLOOKUP(G12,Tabla6[#All],3,FALSE)))))</f>
      </c>
      <c r="O12" s="120">
        <f>IF(Tabla3[[#This Row], [NRO. DOI]]="","",(IF(Tabla3[[#This Row], [MONEDA]]="Soles",(+VLOOKUP(G12,Tabla1[#All],4,FALSE)),(+VLOOKUP(G12,Tabla6[#All],4,FALSE)))))</f>
      </c>
      <c r="P12" s="147" t="s">
        <v>127</v>
      </c>
      <c r="Q12" s="150"/>
      <c r="R12" s="119">
        <v>3091.6</v>
      </c>
      <c r="S12" s="119">
        <f>+IF(Tabla3[[#This Row], [MONEDA]]="DOLARES",Tabla3[[#This Row], [MONTO BRUTO]]*Tabla3[[#This Row], [TIPO DE CAMBIO]],0)</f>
      </c>
      <c r="T12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2" s="119">
        <f>IF(Tabla3[[#This Row], [TIPO DE BIEN O SERVICIO]]="",0,+Tabla3[[#This Row], [MONTO BRUTO]]-Tabla3[[#This Row], [DETRACCION]])</f>
      </c>
      <c r="V12" s="149" t="s">
        <v>124</v>
      </c>
      <c r="W12" s="142"/>
      <c r="X12" s="119">
        <f>IF(Tabla3[[#This Row], [TIPO DE BIEN O SERVICIO]]="",0,+Tabla3[[#This Row], [MONTO BRUTO]]-Tabla3[[#This Row], [DETRACCION]])</f>
      </c>
      <c r="Y12" s="119">
        <f>+Tabla3[[#This Row], [MONTO NETO A PAGAR]]-Tabla3[[#This Row], [MONTO PAGADO]]</f>
      </c>
      <c r="Z12" s="147">
        <f>IF(Tabla3[[#This Row], [MONTO PAGADO]]=0,"",(+IF(Tabla3[[#This Row], [SALDO POR PAGAR]]=0,"TOTAL","PARCIAL")))</f>
      </c>
    </row>
    <row x14ac:dyDescent="0.25" r="13" customHeight="1" ht="18.75">
      <c r="A13" s="116">
        <v>6</v>
      </c>
      <c r="B13" s="142">
        <v>46185</v>
      </c>
      <c r="C13" s="143">
        <v>46185</v>
      </c>
      <c r="D13" s="120" t="s">
        <v>1099</v>
      </c>
      <c r="E13" s="144" t="s">
        <v>1047</v>
      </c>
      <c r="F13" s="145" t="s">
        <v>149</v>
      </c>
      <c r="G13" s="146" t="s">
        <v>953</v>
      </c>
      <c r="H13" s="120">
        <f>IFERROR(+VLOOKUP(G13,Tabla1[#All],2,FALSE),"-")</f>
      </c>
      <c r="I13" s="147" t="s">
        <v>230</v>
      </c>
      <c r="J13" s="148" t="s">
        <v>1108</v>
      </c>
      <c r="K13" s="11"/>
      <c r="L13" s="148" t="s">
        <v>1109</v>
      </c>
      <c r="M13" s="120" t="s">
        <v>1110</v>
      </c>
      <c r="N13" s="149">
        <f>IF(Tabla3[[#This Row], [NRO. DOI]]="","",(IF(Tabla3[[#This Row], [MONEDA]]="Soles",(+VLOOKUP(G13,Tabla1[#All],3,FALSE)),(+VLOOKUP(G13,Tabla6[#All],3,FALSE)))))</f>
      </c>
      <c r="O13" s="120">
        <f>IF(Tabla3[[#This Row], [NRO. DOI]]="","",(IF(Tabla3[[#This Row], [MONEDA]]="Soles",(+VLOOKUP(G13,Tabla1[#All],4,FALSE)),(+VLOOKUP(G13,Tabla6[#All],4,FALSE)))))</f>
      </c>
      <c r="P13" s="147" t="s">
        <v>127</v>
      </c>
      <c r="Q13" s="150"/>
      <c r="R13" s="119">
        <v>2500</v>
      </c>
      <c r="S13" s="119">
        <f>+IF(Tabla3[[#This Row], [MONEDA]]="DOLARES",Tabla3[[#This Row], [MONTO BRUTO]]*Tabla3[[#This Row], [TIPO DE CAMBIO]],0)</f>
      </c>
      <c r="T13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3" s="119">
        <f>IF(Tabla3[[#This Row], [TIPO DE BIEN O SERVICIO]]="",0,+Tabla3[[#This Row], [MONTO BRUTO]]-Tabla3[[#This Row], [DETRACCION]])</f>
      </c>
      <c r="V13" s="149" t="s">
        <v>312</v>
      </c>
      <c r="W13" s="142"/>
      <c r="X13" s="119">
        <f>IF(Tabla3[[#This Row], [TIPO DE BIEN O SERVICIO]]="",0,+Tabla3[[#This Row], [MONTO BRUTO]]-Tabla3[[#This Row], [DETRACCION]])</f>
      </c>
      <c r="Y13" s="119">
        <f>+Tabla3[[#This Row], [MONTO NETO A PAGAR]]-Tabla3[[#This Row], [MONTO PAGADO]]</f>
      </c>
      <c r="Z13" s="147">
        <f>IF(Tabla3[[#This Row], [MONTO PAGADO]]=0,"",(+IF(Tabla3[[#This Row], [SALDO POR PAGAR]]=0,"TOTAL","PARCIAL")))</f>
      </c>
    </row>
    <row x14ac:dyDescent="0.25" r="14" customHeight="1" ht="18.75">
      <c r="A14" s="116">
        <v>7</v>
      </c>
      <c r="B14" s="142">
        <v>46185</v>
      </c>
      <c r="C14" s="143">
        <v>46185</v>
      </c>
      <c r="D14" s="120" t="s">
        <v>1099</v>
      </c>
      <c r="E14" s="144" t="s">
        <v>1047</v>
      </c>
      <c r="F14" s="145" t="s">
        <v>149</v>
      </c>
      <c r="G14" s="146" t="s">
        <v>635</v>
      </c>
      <c r="H14" s="120">
        <f>IFERROR(+VLOOKUP(G14,Tabla1[#All],2,FALSE),"-")</f>
      </c>
      <c r="I14" s="147" t="s">
        <v>247</v>
      </c>
      <c r="J14" s="120" t="s">
        <v>1111</v>
      </c>
      <c r="K14" s="11"/>
      <c r="L14" s="148" t="s">
        <v>1112</v>
      </c>
      <c r="M14" s="120" t="s">
        <v>1113</v>
      </c>
      <c r="N14" s="149">
        <f>IF(Tabla3[[#This Row], [NRO. DOI]]="","",(IF(Tabla3[[#This Row], [MONEDA]]="Soles",(+VLOOKUP(G14,Tabla1[#All],3,FALSE)),(+VLOOKUP(G14,Tabla6[#All],3,FALSE)))))</f>
      </c>
      <c r="O14" s="120">
        <f>IF(Tabla3[[#This Row], [NRO. DOI]]="","",(IF(Tabla3[[#This Row], [MONEDA]]="Soles",(+VLOOKUP(G14,Tabla1[#All],4,FALSE)),(+VLOOKUP(G14,Tabla6[#All],4,FALSE)))))</f>
      </c>
      <c r="P14" s="147" t="s">
        <v>127</v>
      </c>
      <c r="Q14" s="150"/>
      <c r="R14" s="119">
        <v>50</v>
      </c>
      <c r="S14" s="119">
        <f>+IF(Tabla3[[#This Row], [MONEDA]]="DOLARES",Tabla3[[#This Row], [MONTO BRUTO]]*Tabla3[[#This Row], [TIPO DE CAMBIO]],0)</f>
      </c>
      <c r="T14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4" s="119">
        <f>IF(Tabla3[[#This Row], [TIPO DE BIEN O SERVICIO]]="",0,+Tabla3[[#This Row], [MONTO BRUTO]]-Tabla3[[#This Row], [DETRACCION]])</f>
      </c>
      <c r="V14" s="149" t="s">
        <v>312</v>
      </c>
      <c r="W14" s="142"/>
      <c r="X14" s="119">
        <f>IF(Tabla3[[#This Row], [TIPO DE BIEN O SERVICIO]]="",0,+Tabla3[[#This Row], [MONTO BRUTO]]-Tabla3[[#This Row], [DETRACCION]])</f>
      </c>
      <c r="Y14" s="119">
        <f>+Tabla3[[#This Row], [MONTO NETO A PAGAR]]-Tabla3[[#This Row], [MONTO PAGADO]]</f>
      </c>
      <c r="Z14" s="147">
        <f>IF(Tabla3[[#This Row], [MONTO PAGADO]]=0,"",(+IF(Tabla3[[#This Row], [SALDO POR PAGAR]]=0,"TOTAL","PARCIAL")))</f>
      </c>
    </row>
    <row x14ac:dyDescent="0.25" r="15" customHeight="1" ht="18.75">
      <c r="A15" s="116">
        <v>8</v>
      </c>
      <c r="B15" s="142">
        <v>46188</v>
      </c>
      <c r="C15" s="143">
        <v>46188</v>
      </c>
      <c r="D15" s="120" t="s">
        <v>1099</v>
      </c>
      <c r="E15" s="144" t="s">
        <v>1047</v>
      </c>
      <c r="F15" s="145" t="s">
        <v>1114</v>
      </c>
      <c r="G15" s="146" t="s">
        <v>956</v>
      </c>
      <c r="H15" s="120">
        <f>IFERROR(+VLOOKUP(G15,Tabla1[#All],2,FALSE),"-")</f>
      </c>
      <c r="I15" s="147" t="s">
        <v>247</v>
      </c>
      <c r="J15" s="120" t="s">
        <v>1115</v>
      </c>
      <c r="K15" s="11"/>
      <c r="L15" s="148" t="s">
        <v>1116</v>
      </c>
      <c r="M15" s="120" t="s">
        <v>1113</v>
      </c>
      <c r="N15" s="149">
        <f>IF(Tabla3[[#This Row], [NRO. DOI]]="","",(IF(Tabla3[[#This Row], [MONEDA]]="Soles",(+VLOOKUP(G15,Tabla1[#All],3,FALSE)),(+VLOOKUP(G15,Tabla6[#All],3,FALSE)))))</f>
      </c>
      <c r="O15" s="120">
        <f>IF(Tabla3[[#This Row], [NRO. DOI]]="","",(IF(Tabla3[[#This Row], [MONEDA]]="Soles",(+VLOOKUP(G15,Tabla1[#All],4,FALSE)),(+VLOOKUP(G15,Tabla6[#All],4,FALSE)))))</f>
      </c>
      <c r="P15" s="147" t="s">
        <v>127</v>
      </c>
      <c r="Q15" s="150"/>
      <c r="R15" s="119">
        <v>290</v>
      </c>
      <c r="S15" s="119">
        <f>+IF(Tabla3[[#This Row], [MONEDA]]="DOLARES",Tabla3[[#This Row], [MONTO BRUTO]]*Tabla3[[#This Row], [TIPO DE CAMBIO]],0)</f>
      </c>
      <c r="T15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5" s="119">
        <f>IF(Tabla3[[#This Row], [TIPO DE BIEN O SERVICIO]]="",0,+Tabla3[[#This Row], [MONTO BRUTO]]-Tabla3[[#This Row], [DETRACCION]])</f>
      </c>
      <c r="V15" s="149" t="s">
        <v>312</v>
      </c>
      <c r="W15" s="142"/>
      <c r="X15" s="119">
        <f>IF(Tabla3[[#This Row], [TIPO DE BIEN O SERVICIO]]="",0,+Tabla3[[#This Row], [MONTO BRUTO]]-Tabla3[[#This Row], [DETRACCION]])</f>
      </c>
      <c r="Y15" s="119">
        <f>+Tabla3[[#This Row], [MONTO NETO A PAGAR]]-Tabla3[[#This Row], [MONTO PAGADO]]</f>
      </c>
      <c r="Z15" s="147">
        <f>IF(Tabla3[[#This Row], [MONTO PAGADO]]=0,"",(+IF(Tabla3[[#This Row], [SALDO POR PAGAR]]=0,"TOTAL","PARCIAL")))</f>
      </c>
    </row>
    <row x14ac:dyDescent="0.25" r="16" customHeight="1" ht="18.75">
      <c r="A16" s="116">
        <v>9</v>
      </c>
      <c r="B16" s="142">
        <v>46188</v>
      </c>
      <c r="C16" s="143">
        <v>46188</v>
      </c>
      <c r="D16" s="120" t="s">
        <v>1099</v>
      </c>
      <c r="E16" s="144" t="s">
        <v>1047</v>
      </c>
      <c r="F16" s="145" t="s">
        <v>149</v>
      </c>
      <c r="G16" s="146" t="s">
        <v>959</v>
      </c>
      <c r="H16" s="120">
        <f>IFERROR(+VLOOKUP(G16,Tabla1[#All],2,FALSE),"-")</f>
      </c>
      <c r="I16" s="147" t="s">
        <v>230</v>
      </c>
      <c r="J16" s="120" t="s">
        <v>1117</v>
      </c>
      <c r="K16" s="11"/>
      <c r="L16" s="148" t="s">
        <v>1118</v>
      </c>
      <c r="M16" s="120" t="s">
        <v>1119</v>
      </c>
      <c r="N16" s="149">
        <f>IF(Tabla3[[#This Row], [NRO. DOI]]="","",(IF(Tabla3[[#This Row], [MONEDA]]="Soles",(+VLOOKUP(G16,Tabla1[#All],3,FALSE)),(+VLOOKUP(G16,Tabla6[#All],3,FALSE)))))</f>
      </c>
      <c r="O16" s="120">
        <f>IF(Tabla3[[#This Row], [NRO. DOI]]="","",(IF(Tabla3[[#This Row], [MONEDA]]="Soles",(+VLOOKUP(G16,Tabla1[#All],4,FALSE)),(+VLOOKUP(G16,Tabla6[#All],4,FALSE)))))</f>
      </c>
      <c r="P16" s="147" t="s">
        <v>127</v>
      </c>
      <c r="Q16" s="150"/>
      <c r="R16" s="119">
        <v>3900</v>
      </c>
      <c r="S16" s="119">
        <f>+IF(Tabla3[[#This Row], [MONEDA]]="DOLARES",Tabla3[[#This Row], [MONTO BRUTO]]*Tabla3[[#This Row], [TIPO DE CAMBIO]],0)</f>
      </c>
      <c r="T16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6" s="119">
        <f>IF(Tabla3[[#This Row], [TIPO DE BIEN O SERVICIO]]="",0,+Tabla3[[#This Row], [MONTO BRUTO]]-Tabla3[[#This Row], [DETRACCION]])</f>
      </c>
      <c r="V16" s="149" t="s">
        <v>312</v>
      </c>
      <c r="W16" s="142"/>
      <c r="X16" s="119">
        <f>IF(Tabla3[[#This Row], [TIPO DE BIEN O SERVICIO]]="",0,+Tabla3[[#This Row], [MONTO BRUTO]]-Tabla3[[#This Row], [DETRACCION]])</f>
      </c>
      <c r="Y16" s="119">
        <f>+Tabla3[[#This Row], [MONTO NETO A PAGAR]]-Tabla3[[#This Row], [MONTO PAGADO]]</f>
      </c>
      <c r="Z16" s="147">
        <f>IF(Tabla3[[#This Row], [MONTO PAGADO]]=0,"",(+IF(Tabla3[[#This Row], [SALDO POR PAGAR]]=0,"TOTAL","PARCIAL")))</f>
      </c>
    </row>
    <row x14ac:dyDescent="0.25" r="17" customHeight="1" ht="18.75">
      <c r="A17" s="116">
        <v>10</v>
      </c>
      <c r="B17" s="142">
        <v>46189</v>
      </c>
      <c r="C17" s="143">
        <v>38884</v>
      </c>
      <c r="D17" s="120" t="s">
        <v>1099</v>
      </c>
      <c r="E17" s="144" t="s">
        <v>1047</v>
      </c>
      <c r="F17" s="145" t="s">
        <v>149</v>
      </c>
      <c r="G17" s="146" t="s">
        <v>145</v>
      </c>
      <c r="H17" s="120">
        <f>IFERROR(+VLOOKUP(G17,Tabla1[#All],2,FALSE),"-")</f>
      </c>
      <c r="I17" s="147" t="s">
        <v>230</v>
      </c>
      <c r="J17" s="120" t="s">
        <v>1120</v>
      </c>
      <c r="K17" s="144" t="s">
        <v>1121</v>
      </c>
      <c r="L17" s="148" t="s">
        <v>1122</v>
      </c>
      <c r="M17" s="120" t="s">
        <v>1123</v>
      </c>
      <c r="N17" s="149">
        <f>IF(Tabla3[[#This Row], [NRO. DOI]]="","",(IF(Tabla3[[#This Row], [MONEDA]]="Soles",(+VLOOKUP(G17,Tabla1[#All],3,FALSE)),(+VLOOKUP(G17,Tabla6[#All],3,FALSE)))))</f>
      </c>
      <c r="O17" s="120">
        <f>IF(Tabla3[[#This Row], [NRO. DOI]]="","",(IF(Tabla3[[#This Row], [MONEDA]]="Soles",(+VLOOKUP(G17,Tabla1[#All],4,FALSE)),(+VLOOKUP(G17,Tabla6[#All],4,FALSE)))))</f>
      </c>
      <c r="P17" s="147" t="s">
        <v>127</v>
      </c>
      <c r="Q17" s="150"/>
      <c r="R17" s="119">
        <f>17700*3.414</f>
      </c>
      <c r="S17" s="119">
        <f>+IF(Tabla3[[#This Row], [MONEDA]]="DOLARES",Tabla3[[#This Row], [MONTO BRUTO]]*Tabla3[[#This Row], [TIPO DE CAMBIO]],0)</f>
      </c>
      <c r="T17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7" s="119">
        <f>IF(Tabla3[[#This Row], [TIPO DE BIEN O SERVICIO]]="",0,+Tabla3[[#This Row], [MONTO BRUTO]]-Tabla3[[#This Row], [DETRACCION]])</f>
      </c>
      <c r="V17" s="149" t="s">
        <v>312</v>
      </c>
      <c r="W17" s="142">
        <v>46204</v>
      </c>
      <c r="X17" s="119">
        <f>IF(Tabla3[[#This Row], [TIPO DE BIEN O SERVICIO]]="",0,+Tabla3[[#This Row], [MONTO BRUTO]]-Tabla3[[#This Row], [DETRACCION]])</f>
      </c>
      <c r="Y17" s="119">
        <f>+Tabla3[[#This Row], [MONTO NETO A PAGAR]]-Tabla3[[#This Row], [MONTO PAGADO]]</f>
      </c>
      <c r="Z17" s="147">
        <f>IF(Tabla3[[#This Row], [MONTO PAGADO]]=0,"",(+IF(Tabla3[[#This Row], [SALDO POR PAGAR]]=0,"TOTAL","PARCIAL")))</f>
      </c>
    </row>
    <row x14ac:dyDescent="0.25" r="18" customHeight="1" ht="18.75">
      <c r="A18" s="116">
        <v>11</v>
      </c>
      <c r="B18" s="142">
        <v>46190</v>
      </c>
      <c r="C18" s="143">
        <v>46185</v>
      </c>
      <c r="D18" s="120" t="s">
        <v>1099</v>
      </c>
      <c r="E18" s="144" t="s">
        <v>1047</v>
      </c>
      <c r="F18" s="145" t="s">
        <v>149</v>
      </c>
      <c r="G18" s="146" t="s">
        <v>578</v>
      </c>
      <c r="H18" s="120">
        <f>IFERROR(+VLOOKUP(G18,Tabla1[#All],2,FALSE),"-")</f>
      </c>
      <c r="I18" s="147" t="s">
        <v>230</v>
      </c>
      <c r="J18" s="120" t="s">
        <v>1124</v>
      </c>
      <c r="K18" s="144" t="s">
        <v>1125</v>
      </c>
      <c r="L18" s="148" t="s">
        <v>1126</v>
      </c>
      <c r="M18" s="120" t="s">
        <v>1127</v>
      </c>
      <c r="N18" s="149">
        <f>IF(Tabla3[[#This Row], [NRO. DOI]]="","",(IF(Tabla3[[#This Row], [MONEDA]]="Soles",(+VLOOKUP(G18,Tabla1[#All],3,FALSE)),(+VLOOKUP(G18,Tabla6[#All],3,FALSE)))))</f>
      </c>
      <c r="O18" s="120">
        <f>IF(Tabla3[[#This Row], [NRO. DOI]]="","",(IF(Tabla3[[#This Row], [MONEDA]]="Soles",(+VLOOKUP(G18,Tabla1[#All],4,FALSE)),(+VLOOKUP(G18,Tabla6[#All],4,FALSE)))))</f>
      </c>
      <c r="P18" s="147" t="s">
        <v>127</v>
      </c>
      <c r="Q18" s="150"/>
      <c r="R18" s="119">
        <v>558.9</v>
      </c>
      <c r="S18" s="119">
        <f>+IF(Tabla3[[#This Row], [MONEDA]]="DOLARES",Tabla3[[#This Row], [MONTO BRUTO]]*Tabla3[[#This Row], [TIPO DE CAMBIO]],0)</f>
      </c>
      <c r="T18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8" s="119">
        <f>IF(Tabla3[[#This Row], [TIPO DE BIEN O SERVICIO]]="",0,+Tabla3[[#This Row], [MONTO BRUTO]]-Tabla3[[#This Row], [DETRACCION]])</f>
      </c>
      <c r="V18" s="149" t="s">
        <v>312</v>
      </c>
      <c r="W18" s="142">
        <v>46204</v>
      </c>
      <c r="X18" s="119">
        <f>IF(Tabla3[[#This Row], [TIPO DE BIEN O SERVICIO]]="",0,+Tabla3[[#This Row], [MONTO BRUTO]]-Tabla3[[#This Row], [DETRACCION]])</f>
      </c>
      <c r="Y18" s="119">
        <f>+Tabla3[[#This Row], [MONTO NETO A PAGAR]]-Tabla3[[#This Row], [MONTO PAGADO]]</f>
      </c>
      <c r="Z18" s="147">
        <f>IF(Tabla3[[#This Row], [MONTO PAGADO]]=0,"",(+IF(Tabla3[[#This Row], [SALDO POR PAGAR]]=0,"TOTAL","PARCIAL")))</f>
      </c>
    </row>
    <row x14ac:dyDescent="0.25" r="19" customHeight="1" ht="18.75">
      <c r="A19" s="116">
        <v>12</v>
      </c>
      <c r="B19" s="142">
        <v>46190</v>
      </c>
      <c r="C19" s="143">
        <v>46185</v>
      </c>
      <c r="D19" s="120" t="s">
        <v>1099</v>
      </c>
      <c r="E19" s="144" t="s">
        <v>1047</v>
      </c>
      <c r="F19" s="145" t="s">
        <v>149</v>
      </c>
      <c r="G19" s="146" t="s">
        <v>578</v>
      </c>
      <c r="H19" s="120">
        <f>IFERROR(+VLOOKUP(G19,Tabla1[#All],2,FALSE),"-")</f>
      </c>
      <c r="I19" s="147" t="s">
        <v>230</v>
      </c>
      <c r="J19" s="120" t="s">
        <v>1128</v>
      </c>
      <c r="K19" s="144" t="s">
        <v>1129</v>
      </c>
      <c r="L19" s="148" t="s">
        <v>1126</v>
      </c>
      <c r="M19" s="120" t="s">
        <v>1127</v>
      </c>
      <c r="N19" s="149">
        <f>IF(Tabla3[[#This Row], [NRO. DOI]]="","",(IF(Tabla3[[#This Row], [MONEDA]]="Soles",(+VLOOKUP(G19,Tabla1[#All],3,FALSE)),(+VLOOKUP(G19,Tabla6[#All],3,FALSE)))))</f>
      </c>
      <c r="O19" s="120">
        <f>IF(Tabla3[[#This Row], [NRO. DOI]]="","",(IF(Tabla3[[#This Row], [MONEDA]]="Soles",(+VLOOKUP(G19,Tabla1[#All],4,FALSE)),(+VLOOKUP(G19,Tabla6[#All],4,FALSE)))))</f>
      </c>
      <c r="P19" s="147" t="s">
        <v>127</v>
      </c>
      <c r="Q19" s="150"/>
      <c r="R19" s="119">
        <v>478.7</v>
      </c>
      <c r="S19" s="119">
        <f>+IF(Tabla3[[#This Row], [MONEDA]]="DOLARES",Tabla3[[#This Row], [MONTO BRUTO]]*Tabla3[[#This Row], [TIPO DE CAMBIO]],0)</f>
      </c>
      <c r="T19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19" s="119">
        <f>IF(Tabla3[[#This Row], [TIPO DE BIEN O SERVICIO]]="",0,+Tabla3[[#This Row], [MONTO BRUTO]]-Tabla3[[#This Row], [DETRACCION]])</f>
      </c>
      <c r="V19" s="149" t="s">
        <v>124</v>
      </c>
      <c r="W19" s="142">
        <v>46204</v>
      </c>
      <c r="X19" s="119">
        <f>IF(Tabla3[[#This Row], [TIPO DE BIEN O SERVICIO]]="",0,+Tabla3[[#This Row], [MONTO BRUTO]]-Tabla3[[#This Row], [DETRACCION]])</f>
      </c>
      <c r="Y19" s="119">
        <f>+Tabla3[[#This Row], [MONTO NETO A PAGAR]]-Tabla3[[#This Row], [MONTO PAGADO]]</f>
      </c>
      <c r="Z19" s="147">
        <f>IF(Tabla3[[#This Row], [MONTO PAGADO]]=0,"",(+IF(Tabla3[[#This Row], [SALDO POR PAGAR]]=0,"TOTAL","PARCIAL")))</f>
      </c>
    </row>
    <row x14ac:dyDescent="0.25" r="20" customHeight="1" ht="18.75">
      <c r="A20" s="116">
        <v>13</v>
      </c>
      <c r="B20" s="142">
        <v>46190</v>
      </c>
      <c r="C20" s="143">
        <v>46185</v>
      </c>
      <c r="D20" s="120" t="s">
        <v>1099</v>
      </c>
      <c r="E20" s="144" t="s">
        <v>1047</v>
      </c>
      <c r="F20" s="145" t="s">
        <v>149</v>
      </c>
      <c r="G20" s="146" t="s">
        <v>578</v>
      </c>
      <c r="H20" s="120">
        <f>IFERROR(+VLOOKUP(G20,Tabla1[#All],2,FALSE),"-")</f>
      </c>
      <c r="I20" s="147" t="s">
        <v>230</v>
      </c>
      <c r="J20" s="120" t="s">
        <v>1130</v>
      </c>
      <c r="K20" s="144" t="s">
        <v>1131</v>
      </c>
      <c r="L20" s="148" t="s">
        <v>1126</v>
      </c>
      <c r="M20" s="120" t="s">
        <v>1127</v>
      </c>
      <c r="N20" s="149">
        <f>IF(Tabla3[[#This Row], [NRO. DOI]]="","",(IF(Tabla3[[#This Row], [MONEDA]]="Soles",(+VLOOKUP(G20,Tabla1[#All],3,FALSE)),(+VLOOKUP(G20,Tabla6[#All],3,FALSE)))))</f>
      </c>
      <c r="O20" s="120">
        <f>IF(Tabla3[[#This Row], [NRO. DOI]]="","",(IF(Tabla3[[#This Row], [MONEDA]]="Soles",(+VLOOKUP(G20,Tabla1[#All],4,FALSE)),(+VLOOKUP(G20,Tabla6[#All],4,FALSE)))))</f>
      </c>
      <c r="P20" s="147" t="s">
        <v>127</v>
      </c>
      <c r="Q20" s="150"/>
      <c r="R20" s="119">
        <v>550.8</v>
      </c>
      <c r="S20" s="119">
        <f>+IF(Tabla3[[#This Row], [MONEDA]]="DOLARES",Tabla3[[#This Row], [MONTO BRUTO]]*Tabla3[[#This Row], [TIPO DE CAMBIO]],0)</f>
      </c>
      <c r="T20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0" s="119">
        <f>IF(Tabla3[[#This Row], [TIPO DE BIEN O SERVICIO]]="",0,+Tabla3[[#This Row], [MONTO BRUTO]]-Tabla3[[#This Row], [DETRACCION]])</f>
      </c>
      <c r="V20" s="149" t="s">
        <v>312</v>
      </c>
      <c r="W20" s="142">
        <v>46204</v>
      </c>
      <c r="X20" s="119">
        <f>IF(Tabla3[[#This Row], [TIPO DE BIEN O SERVICIO]]="",0,+Tabla3[[#This Row], [MONTO BRUTO]]-Tabla3[[#This Row], [DETRACCION]])</f>
      </c>
      <c r="Y20" s="119">
        <f>+Tabla3[[#This Row], [MONTO NETO A PAGAR]]-Tabla3[[#This Row], [MONTO PAGADO]]</f>
      </c>
      <c r="Z20" s="147">
        <f>IF(Tabla3[[#This Row], [MONTO PAGADO]]=0,"",(+IF(Tabla3[[#This Row], [SALDO POR PAGAR]]=0,"TOTAL","PARCIAL")))</f>
      </c>
    </row>
    <row x14ac:dyDescent="0.25" r="21" customHeight="1" ht="18.75">
      <c r="A21" s="116">
        <v>14</v>
      </c>
      <c r="B21" s="142">
        <v>46221</v>
      </c>
      <c r="C21" s="143">
        <v>46190</v>
      </c>
      <c r="D21" s="120" t="s">
        <v>1099</v>
      </c>
      <c r="E21" s="144" t="s">
        <v>1047</v>
      </c>
      <c r="F21" s="145" t="s">
        <v>149</v>
      </c>
      <c r="G21" s="146" t="s">
        <v>196</v>
      </c>
      <c r="H21" s="120">
        <f>IFERROR(+VLOOKUP(G21,Tabla1[#All],2,FALSE),"-")</f>
      </c>
      <c r="I21" s="147" t="s">
        <v>230</v>
      </c>
      <c r="J21" s="148" t="s">
        <v>1132</v>
      </c>
      <c r="K21" s="144" t="s">
        <v>1133</v>
      </c>
      <c r="L21" s="148" t="s">
        <v>1134</v>
      </c>
      <c r="M21" s="120" t="s">
        <v>1110</v>
      </c>
      <c r="N21" s="149">
        <f>IF(Tabla3[[#This Row], [NRO. DOI]]="","",(IF(Tabla3[[#This Row], [MONEDA]]="Soles",(+VLOOKUP(G21,Tabla1[#All],3,FALSE)),(+VLOOKUP(G21,Tabla6[#All],3,FALSE)))))</f>
      </c>
      <c r="O21" s="120">
        <f>IF(Tabla3[[#This Row], [NRO. DOI]]="","",(IF(Tabla3[[#This Row], [MONEDA]]="Soles",(+VLOOKUP(G21,Tabla1[#All],4,FALSE)),(+VLOOKUP(G21,Tabla6[#All],4,FALSE)))))</f>
      </c>
      <c r="P21" s="147" t="s">
        <v>127</v>
      </c>
      <c r="Q21" s="150"/>
      <c r="R21" s="119">
        <v>560</v>
      </c>
      <c r="S21" s="119">
        <f>+IF(Tabla3[[#This Row], [MONEDA]]="DOLARES",Tabla3[[#This Row], [MONTO BRUTO]]*Tabla3[[#This Row], [TIPO DE CAMBIO]],0)</f>
      </c>
      <c r="T21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1" s="119">
        <f>IF(Tabla3[[#This Row], [TIPO DE BIEN O SERVICIO]]="",0,+Tabla3[[#This Row], [MONTO BRUTO]]-Tabla3[[#This Row], [DETRACCION]])</f>
      </c>
      <c r="V21" s="149" t="s">
        <v>312</v>
      </c>
      <c r="W21" s="142">
        <v>46204</v>
      </c>
      <c r="X21" s="119">
        <f>IF(Tabla3[[#This Row], [TIPO DE BIEN O SERVICIO]]="",0,+Tabla3[[#This Row], [MONTO BRUTO]]-Tabla3[[#This Row], [DETRACCION]])</f>
      </c>
      <c r="Y21" s="119">
        <f>+Tabla3[[#This Row], [MONTO NETO A PAGAR]]-Tabla3[[#This Row], [MONTO PAGADO]]</f>
      </c>
      <c r="Z21" s="147">
        <f>IF(Tabla3[[#This Row], [MONTO PAGADO]]=0,"",(+IF(Tabla3[[#This Row], [SALDO POR PAGAR]]=0,"TOTAL","PARCIAL")))</f>
      </c>
    </row>
    <row x14ac:dyDescent="0.25" r="22" customHeight="1" ht="18.75">
      <c r="A22" s="116">
        <v>15</v>
      </c>
      <c r="B22" s="142">
        <v>46192</v>
      </c>
      <c r="C22" s="143">
        <v>46191</v>
      </c>
      <c r="D22" s="120" t="s">
        <v>1099</v>
      </c>
      <c r="E22" s="144" t="s">
        <v>1047</v>
      </c>
      <c r="F22" s="145" t="s">
        <v>1114</v>
      </c>
      <c r="G22" s="146" t="s">
        <v>386</v>
      </c>
      <c r="H22" s="120">
        <f>IFERROR(+VLOOKUP(G22,Tabla1[#All],2,FALSE),"-")</f>
      </c>
      <c r="I22" s="147" t="s">
        <v>236</v>
      </c>
      <c r="J22" s="120" t="s">
        <v>1135</v>
      </c>
      <c r="K22" s="144" t="s">
        <v>1136</v>
      </c>
      <c r="L22" s="148" t="s">
        <v>1137</v>
      </c>
      <c r="M22" s="120" t="s">
        <v>1113</v>
      </c>
      <c r="N22" s="149">
        <f>IF(Tabla3[[#This Row], [NRO. DOI]]="","",(IF(Tabla3[[#This Row], [MONEDA]]="Soles",(+VLOOKUP(G22,Tabla1[#All],3,FALSE)),(+VLOOKUP(G22,Tabla6[#All],3,FALSE)))))</f>
      </c>
      <c r="O22" s="120">
        <f>IF(Tabla3[[#This Row], [NRO. DOI]]="","",(IF(Tabla3[[#This Row], [MONEDA]]="Soles",(+VLOOKUP(G22,Tabla1[#All],4,FALSE)),(+VLOOKUP(G22,Tabla6[#All],4,FALSE)))))</f>
      </c>
      <c r="P22" s="147" t="s">
        <v>127</v>
      </c>
      <c r="Q22" s="150"/>
      <c r="R22" s="119">
        <v>51.8</v>
      </c>
      <c r="S22" s="119">
        <f>+IF(Tabla3[[#This Row], [MONEDA]]="DOLARES",Tabla3[[#This Row], [MONTO BRUTO]]*Tabla3[[#This Row], [TIPO DE CAMBIO]],0)</f>
      </c>
      <c r="T22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2" s="119">
        <f>IF(Tabla3[[#This Row], [TIPO DE BIEN O SERVICIO]]="",0,+Tabla3[[#This Row], [MONTO BRUTO]]-Tabla3[[#This Row], [DETRACCION]])</f>
      </c>
      <c r="V22" s="149" t="s">
        <v>312</v>
      </c>
      <c r="W22" s="142">
        <v>46204</v>
      </c>
      <c r="X22" s="119">
        <f>IF(Tabla3[[#This Row], [TIPO DE BIEN O SERVICIO]]="",0,+Tabla3[[#This Row], [MONTO BRUTO]]-Tabla3[[#This Row], [DETRACCION]])</f>
      </c>
      <c r="Y22" s="119">
        <f>+Tabla3[[#This Row], [MONTO NETO A PAGAR]]-Tabla3[[#This Row], [MONTO PAGADO]]</f>
      </c>
      <c r="Z22" s="147">
        <f>IF(Tabla3[[#This Row], [MONTO PAGADO]]=0,"",(+IF(Tabla3[[#This Row], [SALDO POR PAGAR]]=0,"TOTAL","PARCIAL")))</f>
      </c>
    </row>
    <row x14ac:dyDescent="0.25" r="23" customHeight="1" ht="18.75">
      <c r="A23" s="116">
        <v>16</v>
      </c>
      <c r="B23" s="142">
        <v>46192</v>
      </c>
      <c r="C23" s="143">
        <v>46191</v>
      </c>
      <c r="D23" s="120" t="s">
        <v>1099</v>
      </c>
      <c r="E23" s="144" t="s">
        <v>1047</v>
      </c>
      <c r="F23" s="145" t="s">
        <v>149</v>
      </c>
      <c r="G23" s="146" t="s">
        <v>960</v>
      </c>
      <c r="H23" s="120">
        <f>IFERROR(+VLOOKUP(G23,Tabla1[#All],2,FALSE),"-")</f>
      </c>
      <c r="I23" s="147" t="s">
        <v>230</v>
      </c>
      <c r="J23" s="120" t="s">
        <v>1138</v>
      </c>
      <c r="K23" s="144" t="s">
        <v>1139</v>
      </c>
      <c r="L23" s="148" t="s">
        <v>1140</v>
      </c>
      <c r="M23" s="120" t="s">
        <v>1105</v>
      </c>
      <c r="N23" s="149">
        <f>IF(Tabla3[[#This Row], [NRO. DOI]]="","",(IF(Tabla3[[#This Row], [MONEDA]]="Soles",(+VLOOKUP(G23,Tabla1[#All],3,FALSE)),(+VLOOKUP(G23,Tabla6[#All],3,FALSE)))))</f>
      </c>
      <c r="O23" s="120">
        <f>IF(Tabla3[[#This Row], [NRO. DOI]]="","",(IF(Tabla3[[#This Row], [MONEDA]]="Soles",(+VLOOKUP(G23,Tabla1[#All],4,FALSE)),(+VLOOKUP(G23,Tabla6[#All],4,FALSE)))))</f>
      </c>
      <c r="P23" s="147" t="s">
        <v>128</v>
      </c>
      <c r="Q23" s="150">
        <v>3.5</v>
      </c>
      <c r="R23" s="119">
        <v>2499.37</v>
      </c>
      <c r="S23" s="119">
        <f>+IF(Tabla3[[#This Row], [MONEDA]]="DOLARES",Tabla3[[#This Row], [MONTO BRUTO]]*Tabla3[[#This Row], [TIPO DE CAMBIO]],0)</f>
      </c>
      <c r="T23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3" s="119">
        <f>IF(Tabla3[[#This Row], [TIPO DE BIEN O SERVICIO]]="",0,+Tabla3[[#This Row], [MONTO BRUTO]]-Tabla3[[#This Row], [DETRACCION]])</f>
      </c>
      <c r="V23" s="149" t="s">
        <v>124</v>
      </c>
      <c r="W23" s="142">
        <v>46204</v>
      </c>
      <c r="X23" s="119">
        <f>IF(Tabla3[[#This Row], [TIPO DE BIEN O SERVICIO]]="",0,+Tabla3[[#This Row], [MONTO BRUTO]]-Tabla3[[#This Row], [DETRACCION]])</f>
      </c>
      <c r="Y23" s="119">
        <f>+Tabla3[[#This Row], [MONTO NETO A PAGAR]]-Tabla3[[#This Row], [MONTO PAGADO]]</f>
      </c>
      <c r="Z23" s="147">
        <f>IF(Tabla3[[#This Row], [MONTO PAGADO]]=0,"",(+IF(Tabla3[[#This Row], [SALDO POR PAGAR]]=0,"TOTAL","PARCIAL")))</f>
      </c>
    </row>
    <row x14ac:dyDescent="0.25" r="24" customHeight="1" ht="18.75">
      <c r="A24" s="116">
        <v>17</v>
      </c>
      <c r="B24" s="142">
        <v>46192</v>
      </c>
      <c r="C24" s="143">
        <v>46191</v>
      </c>
      <c r="D24" s="120" t="s">
        <v>1099</v>
      </c>
      <c r="E24" s="144" t="s">
        <v>1047</v>
      </c>
      <c r="F24" s="145" t="s">
        <v>149</v>
      </c>
      <c r="G24" s="146" t="s">
        <v>191</v>
      </c>
      <c r="H24" s="120">
        <f>IFERROR(+VLOOKUP(G24,Tabla1[#All],2,FALSE),"-")</f>
      </c>
      <c r="I24" s="147" t="s">
        <v>230</v>
      </c>
      <c r="J24" s="120" t="s">
        <v>1141</v>
      </c>
      <c r="K24" s="144" t="s">
        <v>1142</v>
      </c>
      <c r="L24" s="148" t="s">
        <v>1143</v>
      </c>
      <c r="M24" s="120" t="s">
        <v>1110</v>
      </c>
      <c r="N24" s="149">
        <f>IF(Tabla3[[#This Row], [NRO. DOI]]="","",(IF(Tabla3[[#This Row], [MONEDA]]="Soles",(+VLOOKUP(G24,Tabla1[#All],3,FALSE)),(+VLOOKUP(G24,Tabla6[#All],3,FALSE)))))</f>
      </c>
      <c r="O24" s="120">
        <f>IF(Tabla3[[#This Row], [NRO. DOI]]="","",(IF(Tabla3[[#This Row], [MONEDA]]="Soles",(+VLOOKUP(G24,Tabla1[#All],4,FALSE)),(+VLOOKUP(G24,Tabla6[#All],4,FALSE)))))</f>
      </c>
      <c r="P24" s="147" t="s">
        <v>127</v>
      </c>
      <c r="Q24" s="150"/>
      <c r="R24" s="119">
        <v>1852.6</v>
      </c>
      <c r="S24" s="119">
        <f>+IF(Tabla3[[#This Row], [MONEDA]]="DOLARES",Tabla3[[#This Row], [MONTO BRUTO]]*Tabla3[[#This Row], [TIPO DE CAMBIO]],0)</f>
      </c>
      <c r="T24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4" s="119">
        <f>IF(Tabla3[[#This Row], [TIPO DE BIEN O SERVICIO]]="",0,+Tabla3[[#This Row], [MONTO BRUTO]]-Tabla3[[#This Row], [DETRACCION]])</f>
      </c>
      <c r="V24" s="149" t="s">
        <v>312</v>
      </c>
      <c r="W24" s="142">
        <v>46204</v>
      </c>
      <c r="X24" s="119">
        <f>IF(Tabla3[[#This Row], [TIPO DE BIEN O SERVICIO]]="",0,+Tabla3[[#This Row], [MONTO BRUTO]]-Tabla3[[#This Row], [DETRACCION]])</f>
      </c>
      <c r="Y24" s="119">
        <f>+Tabla3[[#This Row], [MONTO NETO A PAGAR]]-Tabla3[[#This Row], [MONTO PAGADO]]</f>
      </c>
      <c r="Z24" s="147">
        <f>IF(Tabla3[[#This Row], [MONTO PAGADO]]=0,"",(+IF(Tabla3[[#This Row], [SALDO POR PAGAR]]=0,"TOTAL","PARCIAL")))</f>
      </c>
    </row>
    <row x14ac:dyDescent="0.25" r="25" customHeight="1" ht="18.75">
      <c r="A25" s="116">
        <v>18</v>
      </c>
      <c r="B25" s="142">
        <v>46195</v>
      </c>
      <c r="C25" s="143">
        <v>46195</v>
      </c>
      <c r="D25" s="120" t="s">
        <v>1099</v>
      </c>
      <c r="E25" s="144" t="s">
        <v>1047</v>
      </c>
      <c r="F25" s="145" t="s">
        <v>149</v>
      </c>
      <c r="G25" s="146" t="s">
        <v>593</v>
      </c>
      <c r="H25" s="120">
        <f>IFERROR(+VLOOKUP(G25,Tabla1[#All],2,FALSE),"-")</f>
      </c>
      <c r="I25" s="147" t="s">
        <v>230</v>
      </c>
      <c r="J25" s="120" t="s">
        <v>1144</v>
      </c>
      <c r="K25" s="144" t="s">
        <v>1145</v>
      </c>
      <c r="L25" s="148" t="s">
        <v>1146</v>
      </c>
      <c r="M25" s="120" t="s">
        <v>1147</v>
      </c>
      <c r="N25" s="149">
        <f>IF(Tabla3[[#This Row], [NRO. DOI]]="","",(IF(Tabla3[[#This Row], [MONEDA]]="Soles",(+VLOOKUP(G25,Tabla1[#All],3,FALSE)),(+VLOOKUP(G25,Tabla6[#All],3,FALSE)))))</f>
      </c>
      <c r="O25" s="120">
        <f>IF(Tabla3[[#This Row], [NRO. DOI]]="","",(IF(Tabla3[[#This Row], [MONEDA]]="Soles",(+VLOOKUP(G25,Tabla1[#All],4,FALSE)),(+VLOOKUP(G25,Tabla6[#All],4,FALSE)))))</f>
      </c>
      <c r="P25" s="147" t="s">
        <v>127</v>
      </c>
      <c r="Q25" s="150"/>
      <c r="R25" s="119">
        <v>1729.1</v>
      </c>
      <c r="S25" s="119">
        <f>+IF(Tabla3[[#This Row], [MONEDA]]="DOLARES",Tabla3[[#This Row], [MONTO BRUTO]]*Tabla3[[#This Row], [TIPO DE CAMBIO]],0)</f>
      </c>
      <c r="T25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5" s="119">
        <f>IF(Tabla3[[#This Row], [TIPO DE BIEN O SERVICIO]]="",0,+Tabla3[[#This Row], [MONTO BRUTO]]-Tabla3[[#This Row], [DETRACCION]])</f>
      </c>
      <c r="V25" s="149" t="s">
        <v>312</v>
      </c>
      <c r="W25" s="142">
        <v>46204</v>
      </c>
      <c r="X25" s="119">
        <f>IF(Tabla3[[#This Row], [TIPO DE BIEN O SERVICIO]]="",0,+Tabla3[[#This Row], [MONTO BRUTO]]-Tabla3[[#This Row], [DETRACCION]])</f>
      </c>
      <c r="Y25" s="119">
        <f>+Tabla3[[#This Row], [MONTO NETO A PAGAR]]-Tabla3[[#This Row], [MONTO PAGADO]]</f>
      </c>
      <c r="Z25" s="147">
        <f>IF(Tabla3[[#This Row], [MONTO PAGADO]]=0,"",(+IF(Tabla3[[#This Row], [SALDO POR PAGAR]]=0,"TOTAL","PARCIAL")))</f>
      </c>
    </row>
    <row x14ac:dyDescent="0.25" r="26" customHeight="1" ht="18.75">
      <c r="A26" s="116">
        <v>19</v>
      </c>
      <c r="B26" s="142">
        <v>46196</v>
      </c>
      <c r="C26" s="143">
        <v>46201</v>
      </c>
      <c r="D26" s="120" t="s">
        <v>1099</v>
      </c>
      <c r="E26" s="144" t="s">
        <v>1047</v>
      </c>
      <c r="F26" s="145" t="s">
        <v>149</v>
      </c>
      <c r="G26" s="146" t="s">
        <v>962</v>
      </c>
      <c r="H26" s="120">
        <f>IFERROR(+VLOOKUP(G26,Tabla1[#All],2,FALSE),"-")</f>
      </c>
      <c r="I26" s="147" t="s">
        <v>224</v>
      </c>
      <c r="J26" s="120" t="s">
        <v>1148</v>
      </c>
      <c r="K26" s="144" t="s">
        <v>1149</v>
      </c>
      <c r="L26" s="148" t="s">
        <v>1150</v>
      </c>
      <c r="M26" s="120" t="s">
        <v>1151</v>
      </c>
      <c r="N26" s="149">
        <f>IF(Tabla3[[#This Row], [NRO. DOI]]="","",(IF(Tabla3[[#This Row], [MONEDA]]="Soles",(+VLOOKUP(G26,Tabla1[#All],3,FALSE)),(+VLOOKUP(G26,Tabla6[#All],3,FALSE)))))</f>
      </c>
      <c r="O26" s="120">
        <f>IF(Tabla3[[#This Row], [NRO. DOI]]="","",(IF(Tabla3[[#This Row], [MONEDA]]="Soles",(+VLOOKUP(G26,Tabla1[#All],4,FALSE)),(+VLOOKUP(G26,Tabla6[#All],4,FALSE)))))</f>
      </c>
      <c r="P26" s="147" t="s">
        <v>127</v>
      </c>
      <c r="Q26" s="150"/>
      <c r="R26" s="119">
        <f>3020.8*30%</f>
      </c>
      <c r="S26" s="119">
        <f>+IF(Tabla3[[#This Row], [MONEDA]]="DOLARES",Tabla3[[#This Row], [MONTO BRUTO]]*Tabla3[[#This Row], [TIPO DE CAMBIO]],0)</f>
      </c>
      <c r="T26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6" s="119">
        <f>IF(Tabla3[[#This Row], [TIPO DE BIEN O SERVICIO]]="",0,+Tabla3[[#This Row], [MONTO BRUTO]]-Tabla3[[#This Row], [DETRACCION]])</f>
      </c>
      <c r="V26" s="149" t="s">
        <v>312</v>
      </c>
      <c r="W26" s="142">
        <v>46204</v>
      </c>
      <c r="X26" s="119">
        <f>IF(Tabla3[[#This Row], [TIPO DE BIEN O SERVICIO]]="",0,+Tabla3[[#This Row], [MONTO BRUTO]]-Tabla3[[#This Row], [DETRACCION]])</f>
      </c>
      <c r="Y26" s="119">
        <f>+Tabla3[[#This Row], [MONTO NETO A PAGAR]]-Tabla3[[#This Row], [MONTO PAGADO]]</f>
      </c>
      <c r="Z26" s="147">
        <f>IF(Tabla3[[#This Row], [MONTO PAGADO]]=0,"",(+IF(Tabla3[[#This Row], [SALDO POR PAGAR]]=0,"TOTAL","PARCIAL")))</f>
      </c>
    </row>
    <row x14ac:dyDescent="0.25" r="27" customHeight="1" ht="18.75">
      <c r="A27" s="116">
        <v>20</v>
      </c>
      <c r="B27" s="143">
        <v>46196</v>
      </c>
      <c r="C27" s="143">
        <v>46192</v>
      </c>
      <c r="D27" s="120" t="s">
        <v>1099</v>
      </c>
      <c r="E27" s="144" t="s">
        <v>1047</v>
      </c>
      <c r="F27" s="145" t="s">
        <v>149</v>
      </c>
      <c r="G27" s="146" t="s">
        <v>790</v>
      </c>
      <c r="H27" s="120">
        <f>IFERROR(+VLOOKUP(G27,Tabla1[#All],2,FALSE),"-")</f>
      </c>
      <c r="I27" s="147" t="s">
        <v>224</v>
      </c>
      <c r="J27" s="120" t="s">
        <v>1152</v>
      </c>
      <c r="K27" s="144" t="s">
        <v>1153</v>
      </c>
      <c r="L27" s="148" t="s">
        <v>1154</v>
      </c>
      <c r="M27" s="120" t="s">
        <v>1155</v>
      </c>
      <c r="N27" s="149">
        <f>IF(Tabla3[[#This Row], [NRO. DOI]]="","",(IF(Tabla3[[#This Row], [MONEDA]]="Soles",(+VLOOKUP(G27,Tabla1[#All],3,FALSE)),(+VLOOKUP(G27,Tabla6[#All],3,FALSE)))))</f>
      </c>
      <c r="O27" s="120">
        <f>IF(Tabla3[[#This Row], [NRO. DOI]]="","",(IF(Tabla3[[#This Row], [MONEDA]]="Soles",(+VLOOKUP(G27,Tabla1[#All],4,FALSE)),(+VLOOKUP(G27,Tabla6[#All],4,FALSE)))))</f>
      </c>
      <c r="P27" s="147" t="s">
        <v>127</v>
      </c>
      <c r="Q27" s="150"/>
      <c r="R27" s="119">
        <v>1295</v>
      </c>
      <c r="S27" s="119">
        <f>+IF(Tabla3[[#This Row], [MONEDA]]="DOLARES",Tabla3[[#This Row], [MONTO BRUTO]]*Tabla3[[#This Row], [TIPO DE CAMBIO]],0)</f>
      </c>
      <c r="T27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7" s="119">
        <f>IF(Tabla3[[#This Row], [TIPO DE BIEN O SERVICIO]]="",0,+Tabla3[[#This Row], [MONTO BRUTO]]-Tabla3[[#This Row], [DETRACCION]])</f>
      </c>
      <c r="V27" s="149" t="s">
        <v>312</v>
      </c>
      <c r="W27" s="142">
        <v>46204</v>
      </c>
      <c r="X27" s="119">
        <f>IF(Tabla3[[#This Row], [TIPO DE BIEN O SERVICIO]]="",0,+Tabla3[[#This Row], [MONTO BRUTO]]-Tabla3[[#This Row], [DETRACCION]])</f>
      </c>
      <c r="Y27" s="119">
        <f>+Tabla3[[#This Row], [MONTO NETO A PAGAR]]-Tabla3[[#This Row], [MONTO PAGADO]]</f>
      </c>
      <c r="Z27" s="147">
        <f>IF(Tabla3[[#This Row], [MONTO PAGADO]]=0,"",(+IF(Tabla3[[#This Row], [SALDO POR PAGAR]]=0,"TOTAL","PARCIAL")))</f>
      </c>
    </row>
    <row x14ac:dyDescent="0.25" r="28" customHeight="1" ht="18.75">
      <c r="A28" s="116">
        <v>21</v>
      </c>
      <c r="B28" s="142">
        <v>46196</v>
      </c>
      <c r="C28" s="143">
        <v>46189</v>
      </c>
      <c r="D28" s="120" t="s">
        <v>1099</v>
      </c>
      <c r="E28" s="144" t="s">
        <v>1047</v>
      </c>
      <c r="F28" s="145" t="s">
        <v>149</v>
      </c>
      <c r="G28" s="146" t="s">
        <v>790</v>
      </c>
      <c r="H28" s="120">
        <f>IFERROR(+VLOOKUP(G28,Tabla1[#All],2,FALSE),"-")</f>
      </c>
      <c r="I28" s="147" t="s">
        <v>224</v>
      </c>
      <c r="J28" s="120" t="s">
        <v>1156</v>
      </c>
      <c r="K28" s="144" t="s">
        <v>1157</v>
      </c>
      <c r="L28" s="148" t="s">
        <v>1154</v>
      </c>
      <c r="M28" s="120" t="s">
        <v>1155</v>
      </c>
      <c r="N28" s="149">
        <f>IF(Tabla3[[#This Row], [NRO. DOI]]="","",(IF(Tabla3[[#This Row], [MONEDA]]="Soles",(+VLOOKUP(G28,Tabla1[#All],3,FALSE)),(+VLOOKUP(G28,Tabla6[#All],3,FALSE)))))</f>
      </c>
      <c r="O28" s="120">
        <f>IF(Tabla3[[#This Row], [NRO. DOI]]="","",(IF(Tabla3[[#This Row], [MONEDA]]="Soles",(+VLOOKUP(G28,Tabla1[#All],4,FALSE)),(+VLOOKUP(G28,Tabla6[#All],4,FALSE)))))</f>
      </c>
      <c r="P28" s="147" t="s">
        <v>127</v>
      </c>
      <c r="Q28" s="150"/>
      <c r="R28" s="119">
        <v>3725</v>
      </c>
      <c r="S28" s="119">
        <f>+IF(Tabla3[[#This Row], [MONEDA]]="DOLARES",Tabla3[[#This Row], [MONTO BRUTO]]*Tabla3[[#This Row], [TIPO DE CAMBIO]],0)</f>
      </c>
      <c r="T28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8" s="119">
        <f>IF(Tabla3[[#This Row], [TIPO DE BIEN O SERVICIO]]="",0,+Tabla3[[#This Row], [MONTO BRUTO]]-Tabla3[[#This Row], [DETRACCION]])</f>
      </c>
      <c r="V28" s="149" t="s">
        <v>312</v>
      </c>
      <c r="W28" s="142">
        <v>46204</v>
      </c>
      <c r="X28" s="119">
        <f>IF(Tabla3[[#This Row], [TIPO DE BIEN O SERVICIO]]="",0,+Tabla3[[#This Row], [MONTO BRUTO]]-Tabla3[[#This Row], [DETRACCION]])</f>
      </c>
      <c r="Y28" s="119">
        <f>+Tabla3[[#This Row], [MONTO NETO A PAGAR]]-Tabla3[[#This Row], [MONTO PAGADO]]</f>
      </c>
      <c r="Z28" s="147">
        <f>IF(Tabla3[[#This Row], [MONTO PAGADO]]=0,"",(+IF(Tabla3[[#This Row], [SALDO POR PAGAR]]=0,"TOTAL","PARCIAL")))</f>
      </c>
    </row>
    <row x14ac:dyDescent="0.25" r="29" customHeight="1" ht="18.75">
      <c r="A29" s="116">
        <v>22</v>
      </c>
      <c r="B29" s="142">
        <v>46196</v>
      </c>
      <c r="C29" s="143">
        <v>46204</v>
      </c>
      <c r="D29" s="120" t="s">
        <v>1099</v>
      </c>
      <c r="E29" s="144" t="s">
        <v>1047</v>
      </c>
      <c r="F29" s="145" t="s">
        <v>1114</v>
      </c>
      <c r="G29" s="146" t="s">
        <v>394</v>
      </c>
      <c r="H29" s="120">
        <f>IFERROR(+VLOOKUP(G29,Tabla1[#All],2,FALSE),"-")</f>
      </c>
      <c r="I29" s="147" t="s">
        <v>224</v>
      </c>
      <c r="J29" s="120" t="s">
        <v>1158</v>
      </c>
      <c r="K29" s="144" t="s">
        <v>1159</v>
      </c>
      <c r="L29" s="148" t="s">
        <v>1160</v>
      </c>
      <c r="M29" s="120" t="s">
        <v>1147</v>
      </c>
      <c r="N29" s="149">
        <f>IF(Tabla3[[#This Row], [NRO. DOI]]="","",(IF(Tabla3[[#This Row], [MONEDA]]="Soles",(+VLOOKUP(G29,Tabla1[#All],3,FALSE)),(+VLOOKUP(G29,Tabla6[#All],3,FALSE)))))</f>
      </c>
      <c r="O29" s="120">
        <f>IF(Tabla3[[#This Row], [NRO. DOI]]="","",(IF(Tabla3[[#This Row], [MONEDA]]="Soles",(+VLOOKUP(G29,Tabla1[#All],4,FALSE)),(+VLOOKUP(G29,Tabla6[#All],4,FALSE)))))</f>
      </c>
      <c r="P29" s="147" t="s">
        <v>127</v>
      </c>
      <c r="Q29" s="150"/>
      <c r="R29" s="119">
        <v>1925</v>
      </c>
      <c r="S29" s="119">
        <f>+IF(Tabla3[[#This Row], [MONEDA]]="DOLARES",Tabla3[[#This Row], [MONTO BRUTO]]*Tabla3[[#This Row], [TIPO DE CAMBIO]],0)</f>
      </c>
      <c r="T29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29" s="119">
        <f>IF(Tabla3[[#This Row], [TIPO DE BIEN O SERVICIO]]="",0,+Tabla3[[#This Row], [MONTO BRUTO]]-Tabla3[[#This Row], [DETRACCION]])</f>
      </c>
      <c r="V29" s="149" t="s">
        <v>312</v>
      </c>
      <c r="W29" s="142">
        <v>46204</v>
      </c>
      <c r="X29" s="119">
        <f>IF(Tabla3[[#This Row], [TIPO DE BIEN O SERVICIO]]="",0,+Tabla3[[#This Row], [MONTO BRUTO]]-Tabla3[[#This Row], [DETRACCION]])</f>
      </c>
      <c r="Y29" s="119">
        <f>+Tabla3[[#This Row], [MONTO NETO A PAGAR]]-Tabla3[[#This Row], [MONTO PAGADO]]</f>
      </c>
      <c r="Z29" s="147">
        <f>IF(Tabla3[[#This Row], [MONTO PAGADO]]=0,"",(+IF(Tabla3[[#This Row], [SALDO POR PAGAR]]=0,"TOTAL","PARCIAL")))</f>
      </c>
    </row>
    <row x14ac:dyDescent="0.25" r="30" customHeight="1" ht="18.75">
      <c r="A30" s="116">
        <v>23</v>
      </c>
      <c r="B30" s="142">
        <v>46195</v>
      </c>
      <c r="C30" s="142">
        <v>46195</v>
      </c>
      <c r="D30" s="120" t="s">
        <v>1099</v>
      </c>
      <c r="E30" s="144" t="s">
        <v>1047</v>
      </c>
      <c r="F30" s="145" t="s">
        <v>149</v>
      </c>
      <c r="G30" s="146" t="s">
        <v>968</v>
      </c>
      <c r="H30" s="120">
        <f>IFERROR(+VLOOKUP(G30,Tabla1[#All],2,FALSE),"-")</f>
      </c>
      <c r="I30" s="147" t="s">
        <v>224</v>
      </c>
      <c r="J30" s="120" t="s">
        <v>1158</v>
      </c>
      <c r="K30" s="144" t="s">
        <v>1161</v>
      </c>
      <c r="L30" s="148" t="s">
        <v>1162</v>
      </c>
      <c r="M30" s="120" t="s">
        <v>1155</v>
      </c>
      <c r="N30" s="149">
        <f>IF(Tabla3[[#This Row], [NRO. DOI]]="","",(IF(Tabla3[[#This Row], [MONEDA]]="Soles",(+VLOOKUP(G30,Tabla1[#All],3,FALSE)),(+VLOOKUP(G30,Tabla6[#All],3,FALSE)))))</f>
      </c>
      <c r="O30" s="120">
        <f>IF(Tabla3[[#This Row], [NRO. DOI]]="","",(IF(Tabla3[[#This Row], [MONEDA]]="Soles",(+VLOOKUP(G30,Tabla1[#All],4,FALSE)),(+VLOOKUP(G30,Tabla6[#All],4,FALSE)))))</f>
      </c>
      <c r="P30" s="147" t="s">
        <v>127</v>
      </c>
      <c r="Q30" s="150"/>
      <c r="R30" s="119">
        <v>1820</v>
      </c>
      <c r="S30" s="119">
        <f>+IF(Tabla3[[#This Row], [MONEDA]]="DOLARES",Tabla3[[#This Row], [MONTO BRUTO]]*Tabla3[[#This Row], [TIPO DE CAMBIO]],0)</f>
      </c>
      <c r="T30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0" s="119">
        <f>IF(Tabla3[[#This Row], [TIPO DE BIEN O SERVICIO]]="",0,+Tabla3[[#This Row], [MONTO BRUTO]]-Tabla3[[#This Row], [DETRACCION]])</f>
      </c>
      <c r="V30" s="149" t="s">
        <v>312</v>
      </c>
      <c r="W30" s="142">
        <v>46204</v>
      </c>
      <c r="X30" s="119">
        <f>IF(Tabla3[[#This Row], [TIPO DE BIEN O SERVICIO]]="",0,+Tabla3[[#This Row], [MONTO BRUTO]]-Tabla3[[#This Row], [DETRACCION]])</f>
      </c>
      <c r="Y30" s="119">
        <f>+Tabla3[[#This Row], [MONTO NETO A PAGAR]]-Tabla3[[#This Row], [MONTO PAGADO]]</f>
      </c>
      <c r="Z30" s="147">
        <f>IF(Tabla3[[#This Row], [MONTO PAGADO]]=0,"",(+IF(Tabla3[[#This Row], [SALDO POR PAGAR]]=0,"TOTAL","PARCIAL")))</f>
      </c>
    </row>
    <row x14ac:dyDescent="0.25" r="31" customHeight="1" ht="18.75">
      <c r="A31" s="116">
        <v>24</v>
      </c>
      <c r="B31" s="142">
        <v>46196</v>
      </c>
      <c r="C31" s="143">
        <v>46182</v>
      </c>
      <c r="D31" s="120" t="s">
        <v>1099</v>
      </c>
      <c r="E31" s="144" t="s">
        <v>1047</v>
      </c>
      <c r="F31" s="145" t="s">
        <v>149</v>
      </c>
      <c r="G31" s="146" t="s">
        <v>174</v>
      </c>
      <c r="H31" s="120">
        <f>IFERROR(+VLOOKUP(G31,Tabla1[#All],2,FALSE),"-")</f>
      </c>
      <c r="I31" s="147" t="s">
        <v>218</v>
      </c>
      <c r="J31" s="120" t="s">
        <v>1163</v>
      </c>
      <c r="K31" s="144" t="s">
        <v>1164</v>
      </c>
      <c r="L31" s="148" t="s">
        <v>1165</v>
      </c>
      <c r="M31" s="120" t="s">
        <v>1166</v>
      </c>
      <c r="N31" s="149">
        <f>IF(Tabla3[[#This Row], [NRO. DOI]]="","",(IF(Tabla3[[#This Row], [MONEDA]]="Soles",(+VLOOKUP(G31,Tabla1[#All],3,FALSE)),(+VLOOKUP(G31,Tabla6[#All],3,FALSE)))))</f>
      </c>
      <c r="O31" s="120">
        <f>IF(Tabla3[[#This Row], [NRO. DOI]]="","",(IF(Tabla3[[#This Row], [MONEDA]]="Soles",(+VLOOKUP(G31,Tabla1[#All],4,FALSE)),(+VLOOKUP(G31,Tabla6[#All],4,FALSE)))))</f>
      </c>
      <c r="P31" s="147" t="s">
        <v>127</v>
      </c>
      <c r="Q31" s="150"/>
      <c r="R31" s="119">
        <v>2702.2</v>
      </c>
      <c r="S31" s="119">
        <f>+IF(Tabla3[[#This Row], [MONEDA]]="DOLARES",Tabla3[[#This Row], [MONTO BRUTO]]*Tabla3[[#This Row], [TIPO DE CAMBIO]],0)</f>
      </c>
      <c r="T31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1" s="119">
        <f>IF(Tabla3[[#This Row], [TIPO DE BIEN O SERVICIO]]="",0,+Tabla3[[#This Row], [MONTO BRUTO]]-Tabla3[[#This Row], [DETRACCION]])</f>
      </c>
      <c r="V31" s="149" t="s">
        <v>312</v>
      </c>
      <c r="W31" s="142">
        <v>46204</v>
      </c>
      <c r="X31" s="119">
        <f>IF(Tabla3[[#This Row], [TIPO DE BIEN O SERVICIO]]="",0,+Tabla3[[#This Row], [MONTO BRUTO]]-Tabla3[[#This Row], [DETRACCION]])</f>
      </c>
      <c r="Y31" s="119">
        <f>+Tabla3[[#This Row], [MONTO NETO A PAGAR]]-Tabla3[[#This Row], [MONTO PAGADO]]</f>
      </c>
      <c r="Z31" s="147">
        <f>IF(Tabla3[[#This Row], [MONTO PAGADO]]=0,"",(+IF(Tabla3[[#This Row], [SALDO POR PAGAR]]=0,"TOTAL","PARCIAL")))</f>
      </c>
    </row>
    <row x14ac:dyDescent="0.25" r="32" customHeight="1" ht="18.75">
      <c r="A32" s="116">
        <v>25</v>
      </c>
      <c r="B32" s="142">
        <v>46196</v>
      </c>
      <c r="C32" s="143">
        <v>46173</v>
      </c>
      <c r="D32" s="120" t="s">
        <v>1099</v>
      </c>
      <c r="E32" s="144" t="s">
        <v>1047</v>
      </c>
      <c r="F32" s="145" t="s">
        <v>149</v>
      </c>
      <c r="G32" s="146" t="s">
        <v>178</v>
      </c>
      <c r="H32" s="120">
        <f>IFERROR(+VLOOKUP(G32,Tabla1[#All],2,FALSE),"-")</f>
      </c>
      <c r="I32" s="147" t="s">
        <v>230</v>
      </c>
      <c r="J32" s="120" t="s">
        <v>1167</v>
      </c>
      <c r="K32" s="144" t="s">
        <v>1168</v>
      </c>
      <c r="L32" s="148" t="s">
        <v>1169</v>
      </c>
      <c r="M32" s="120" t="s">
        <v>1170</v>
      </c>
      <c r="N32" s="149">
        <f>IF(Tabla3[[#This Row], [NRO. DOI]]="","",(IF(Tabla3[[#This Row], [MONEDA]]="Soles",(+VLOOKUP(G32,Tabla1[#All],3,FALSE)),(+VLOOKUP(G32,Tabla6[#All],3,FALSE)))))</f>
      </c>
      <c r="O32" s="120">
        <f>IF(Tabla3[[#This Row], [NRO. DOI]]="","",(IF(Tabla3[[#This Row], [MONEDA]]="Soles",(+VLOOKUP(G32,Tabla1[#All],4,FALSE)),(+VLOOKUP(G32,Tabla6[#All],4,FALSE)))))</f>
      </c>
      <c r="P32" s="147" t="s">
        <v>127</v>
      </c>
      <c r="Q32" s="150"/>
      <c r="R32" s="119">
        <v>577.02</v>
      </c>
      <c r="S32" s="119">
        <f>+IF(Tabla3[[#This Row], [MONEDA]]="DOLARES",Tabla3[[#This Row], [MONTO BRUTO]]*Tabla3[[#This Row], [TIPO DE CAMBIO]],0)</f>
      </c>
      <c r="T32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2" s="119">
        <f>IF(Tabla3[[#This Row], [TIPO DE BIEN O SERVICIO]]="",0,+Tabla3[[#This Row], [MONTO BRUTO]]-Tabla3[[#This Row], [DETRACCION]])</f>
      </c>
      <c r="V32" s="149" t="s">
        <v>312</v>
      </c>
      <c r="W32" s="142">
        <v>46204</v>
      </c>
      <c r="X32" s="119">
        <f>IF(Tabla3[[#This Row], [TIPO DE BIEN O SERVICIO]]="",0,+Tabla3[[#This Row], [MONTO BRUTO]]-Tabla3[[#This Row], [DETRACCION]])</f>
      </c>
      <c r="Y32" s="119">
        <f>+Tabla3[[#This Row], [MONTO NETO A PAGAR]]-Tabla3[[#This Row], [MONTO PAGADO]]</f>
      </c>
      <c r="Z32" s="147">
        <f>IF(Tabla3[[#This Row], [MONTO PAGADO]]=0,"",(+IF(Tabla3[[#This Row], [SALDO POR PAGAR]]=0,"TOTAL","PARCIAL")))</f>
      </c>
    </row>
    <row x14ac:dyDescent="0.25" r="33" customHeight="1" ht="18.75">
      <c r="A33" s="116">
        <v>26</v>
      </c>
      <c r="B33" s="142">
        <v>46197</v>
      </c>
      <c r="C33" s="143">
        <v>46196</v>
      </c>
      <c r="D33" s="120" t="s">
        <v>1099</v>
      </c>
      <c r="E33" s="144" t="s">
        <v>1047</v>
      </c>
      <c r="F33" s="145" t="s">
        <v>149</v>
      </c>
      <c r="G33" s="146" t="s">
        <v>951</v>
      </c>
      <c r="H33" s="120">
        <f>IFERROR(+VLOOKUP(G33,Tabla1[#All],2,FALSE),"-")</f>
      </c>
      <c r="I33" s="147" t="s">
        <v>230</v>
      </c>
      <c r="J33" s="120" t="s">
        <v>1049</v>
      </c>
      <c r="K33" s="144" t="s">
        <v>1171</v>
      </c>
      <c r="L33" s="148" t="s">
        <v>1050</v>
      </c>
      <c r="M33" s="120" t="s">
        <v>1170</v>
      </c>
      <c r="N33" s="149">
        <f>IF(Tabla3[[#This Row], [NRO. DOI]]="","",(IF(Tabla3[[#This Row], [MONEDA]]="Soles",(+VLOOKUP(G33,Tabla1[#All],3,FALSE)),(+VLOOKUP(G33,Tabla6[#All],3,FALSE)))))</f>
      </c>
      <c r="O33" s="120">
        <f>IF(Tabla3[[#This Row], [NRO. DOI]]="","",(IF(Tabla3[[#This Row], [MONEDA]]="Soles",(+VLOOKUP(G33,Tabla1[#All],4,FALSE)),(+VLOOKUP(G33,Tabla6[#All],4,FALSE)))))</f>
      </c>
      <c r="P33" s="147" t="s">
        <v>128</v>
      </c>
      <c r="Q33" s="150">
        <v>3.5</v>
      </c>
      <c r="R33" s="119">
        <v>1652</v>
      </c>
      <c r="S33" s="119">
        <f>+IF(Tabla3[[#This Row], [MONEDA]]="DOLARES",Tabla3[[#This Row], [MONTO BRUTO]]*Tabla3[[#This Row], [TIPO DE CAMBIO]],0)</f>
      </c>
      <c r="T33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3" s="119">
        <f>IF(Tabla3[[#This Row], [TIPO DE BIEN O SERVICIO]]="",0,+Tabla3[[#This Row], [MONTO BRUTO]]-Tabla3[[#This Row], [DETRACCION]])</f>
      </c>
      <c r="V33" s="149" t="s">
        <v>123</v>
      </c>
      <c r="W33" s="142">
        <v>46204</v>
      </c>
      <c r="X33" s="119">
        <f>IF(Tabla3[[#This Row], [TIPO DE BIEN O SERVICIO]]="",0,+Tabla3[[#This Row], [MONTO BRUTO]]-Tabla3[[#This Row], [DETRACCION]])</f>
      </c>
      <c r="Y33" s="119">
        <f>+Tabla3[[#This Row], [MONTO NETO A PAGAR]]-Tabla3[[#This Row], [MONTO PAGADO]]</f>
      </c>
      <c r="Z33" s="147">
        <f>IF(Tabla3[[#This Row], [MONTO PAGADO]]=0,"",(+IF(Tabla3[[#This Row], [SALDO POR PAGAR]]=0,"TOTAL","PARCIAL")))</f>
      </c>
    </row>
    <row x14ac:dyDescent="0.25" r="34" customHeight="1" ht="18.75">
      <c r="A34" s="116">
        <v>27</v>
      </c>
      <c r="B34" s="142">
        <v>46198</v>
      </c>
      <c r="C34" s="142">
        <v>46198</v>
      </c>
      <c r="D34" s="120" t="s">
        <v>1099</v>
      </c>
      <c r="E34" s="144" t="s">
        <v>1047</v>
      </c>
      <c r="F34" s="145" t="s">
        <v>149</v>
      </c>
      <c r="G34" s="146" t="s">
        <v>135</v>
      </c>
      <c r="H34" s="120">
        <f>IFERROR(+VLOOKUP(G34,Tabla1[#All],2,FALSE),"-")</f>
      </c>
      <c r="I34" s="147" t="s">
        <v>230</v>
      </c>
      <c r="J34" s="120" t="s">
        <v>1172</v>
      </c>
      <c r="K34" s="144" t="s">
        <v>1173</v>
      </c>
      <c r="L34" s="148" t="s">
        <v>1174</v>
      </c>
      <c r="M34" s="120" t="s">
        <v>1175</v>
      </c>
      <c r="N34" s="149">
        <f>IF(Tabla3[[#This Row], [NRO. DOI]]="","",(IF(Tabla3[[#This Row], [MONEDA]]="Soles",(+VLOOKUP(G34,Tabla1[#All],3,FALSE)),(+VLOOKUP(G34,Tabla6[#All],3,FALSE)))))</f>
      </c>
      <c r="O34" s="120">
        <f>IF(Tabla3[[#This Row], [NRO. DOI]]="","",(IF(Tabla3[[#This Row], [MONEDA]]="Soles",(+VLOOKUP(G34,Tabla1[#All],4,FALSE)),(+VLOOKUP(G34,Tabla6[#All],4,FALSE)))))</f>
      </c>
      <c r="P34" s="147" t="s">
        <v>127</v>
      </c>
      <c r="Q34" s="150"/>
      <c r="R34" s="119">
        <v>1036</v>
      </c>
      <c r="S34" s="119">
        <f>+IF(Tabla3[[#This Row], [MONEDA]]="DOLARES",Tabla3[[#This Row], [MONTO BRUTO]]*Tabla3[[#This Row], [TIPO DE CAMBIO]],0)</f>
      </c>
      <c r="T34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4" s="119">
        <f>IF(Tabla3[[#This Row], [TIPO DE BIEN O SERVICIO]]="",0,+Tabla3[[#This Row], [MONTO BRUTO]]-Tabla3[[#This Row], [DETRACCION]])</f>
      </c>
      <c r="V34" s="149" t="s">
        <v>312</v>
      </c>
      <c r="W34" s="142">
        <v>46204</v>
      </c>
      <c r="X34" s="119">
        <f>IF(Tabla3[[#This Row], [TIPO DE BIEN O SERVICIO]]="",0,+Tabla3[[#This Row], [MONTO BRUTO]]-Tabla3[[#This Row], [DETRACCION]])</f>
      </c>
      <c r="Y34" s="119">
        <f>+Tabla3[[#This Row], [MONTO NETO A PAGAR]]-Tabla3[[#This Row], [MONTO PAGADO]]</f>
      </c>
      <c r="Z34" s="147">
        <f>IF(Tabla3[[#This Row], [MONTO PAGADO]]=0,"",(+IF(Tabla3[[#This Row], [SALDO POR PAGAR]]=0,"TOTAL","PARCIAL")))</f>
      </c>
    </row>
    <row x14ac:dyDescent="0.25" r="35" customHeight="1" ht="18.75">
      <c r="A35" s="116">
        <v>28</v>
      </c>
      <c r="B35" s="142">
        <v>46198</v>
      </c>
      <c r="C35" s="143">
        <v>46198</v>
      </c>
      <c r="D35" s="120" t="s">
        <v>1099</v>
      </c>
      <c r="E35" s="144" t="s">
        <v>1047</v>
      </c>
      <c r="F35" s="145" t="s">
        <v>149</v>
      </c>
      <c r="G35" s="146" t="s">
        <v>783</v>
      </c>
      <c r="H35" s="120">
        <f>IFERROR(+VLOOKUP(G35,Tabla1[#All],2,FALSE),"-")</f>
      </c>
      <c r="I35" s="147" t="s">
        <v>224</v>
      </c>
      <c r="J35" s="120" t="s">
        <v>1158</v>
      </c>
      <c r="K35" s="144" t="s">
        <v>1176</v>
      </c>
      <c r="L35" s="148" t="s">
        <v>1177</v>
      </c>
      <c r="M35" s="120" t="s">
        <v>1178</v>
      </c>
      <c r="N35" s="149">
        <f>IF(Tabla3[[#This Row], [NRO. DOI]]="","",(IF(Tabla3[[#This Row], [MONEDA]]="Soles",(+VLOOKUP(G35,Tabla1[#All],3,FALSE)),(+VLOOKUP(G35,Tabla6[#All],3,FALSE)))))</f>
      </c>
      <c r="O35" s="120">
        <f>IF(Tabla3[[#This Row], [NRO. DOI]]="","",(IF(Tabla3[[#This Row], [MONEDA]]="Soles",(+VLOOKUP(G35,Tabla1[#All],4,FALSE)),(+VLOOKUP(G35,Tabla6[#All],4,FALSE)))))</f>
      </c>
      <c r="P35" s="147" t="s">
        <v>127</v>
      </c>
      <c r="Q35" s="150"/>
      <c r="R35" s="119">
        <v>700</v>
      </c>
      <c r="S35" s="119">
        <f>+IF(Tabla3[[#This Row], [MONEDA]]="DOLARES",Tabla3[[#This Row], [MONTO BRUTO]]*Tabla3[[#This Row], [TIPO DE CAMBIO]],0)</f>
      </c>
      <c r="T35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5" s="119">
        <f>IF(Tabla3[[#This Row], [TIPO DE BIEN O SERVICIO]]="",0,+Tabla3[[#This Row], [MONTO BRUTO]]-Tabla3[[#This Row], [DETRACCION]])</f>
      </c>
      <c r="V35" s="149" t="s">
        <v>312</v>
      </c>
      <c r="W35" s="142">
        <v>46204</v>
      </c>
      <c r="X35" s="119">
        <f>IF(Tabla3[[#This Row], [TIPO DE BIEN O SERVICIO]]="",0,+Tabla3[[#This Row], [MONTO BRUTO]]-Tabla3[[#This Row], [DETRACCION]])</f>
      </c>
      <c r="Y35" s="119">
        <f>+Tabla3[[#This Row], [MONTO NETO A PAGAR]]-Tabla3[[#This Row], [MONTO PAGADO]]</f>
      </c>
      <c r="Z35" s="147">
        <f>IF(Tabla3[[#This Row], [MONTO PAGADO]]=0,"",(+IF(Tabla3[[#This Row], [SALDO POR PAGAR]]=0,"TOTAL","PARCIAL")))</f>
      </c>
    </row>
    <row x14ac:dyDescent="0.25" r="36" customHeight="1" ht="18.75">
      <c r="A36" s="116">
        <v>29</v>
      </c>
      <c r="B36" s="142">
        <v>46198</v>
      </c>
      <c r="C36" s="143">
        <v>46198</v>
      </c>
      <c r="D36" s="120" t="s">
        <v>1099</v>
      </c>
      <c r="E36" s="144" t="s">
        <v>1047</v>
      </c>
      <c r="F36" s="145" t="s">
        <v>1114</v>
      </c>
      <c r="G36" s="146" t="s">
        <v>690</v>
      </c>
      <c r="H36" s="120">
        <f>IFERROR(+VLOOKUP(G36,Tabla1[#All],2,FALSE),"-")</f>
      </c>
      <c r="I36" s="147" t="s">
        <v>236</v>
      </c>
      <c r="J36" s="120" t="s">
        <v>247</v>
      </c>
      <c r="K36" s="144" t="s">
        <v>1179</v>
      </c>
      <c r="L36" s="148" t="s">
        <v>1180</v>
      </c>
      <c r="M36" s="120" t="s">
        <v>1181</v>
      </c>
      <c r="N36" s="149">
        <f>IF(Tabla3[[#This Row], [NRO. DOI]]="","",(IF(Tabla3[[#This Row], [MONEDA]]="Soles",(+VLOOKUP(G36,Tabla1[#All],3,FALSE)),(+VLOOKUP(G36,Tabla6[#All],3,FALSE)))))</f>
      </c>
      <c r="O36" s="120">
        <f>IF(Tabla3[[#This Row], [NRO. DOI]]="","",(IF(Tabla3[[#This Row], [MONEDA]]="Soles",(+VLOOKUP(G36,Tabla1[#All],4,FALSE)),(+VLOOKUP(G36,Tabla6[#All],4,FALSE)))))</f>
      </c>
      <c r="P36" s="147" t="s">
        <v>127</v>
      </c>
      <c r="Q36" s="150"/>
      <c r="R36" s="119">
        <v>180</v>
      </c>
      <c r="S36" s="119">
        <f>+IF(Tabla3[[#This Row], [MONEDA]]="DOLARES",Tabla3[[#This Row], [MONTO BRUTO]]*Tabla3[[#This Row], [TIPO DE CAMBIO]],0)</f>
      </c>
      <c r="T36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6" s="119">
        <f>IF(Tabla3[[#This Row], [TIPO DE BIEN O SERVICIO]]="",0,+Tabla3[[#This Row], [MONTO BRUTO]]-Tabla3[[#This Row], [DETRACCION]])</f>
      </c>
      <c r="V36" s="149" t="s">
        <v>312</v>
      </c>
      <c r="W36" s="142">
        <v>46204</v>
      </c>
      <c r="X36" s="119">
        <f>IF(Tabla3[[#This Row], [TIPO DE BIEN O SERVICIO]]="",0,+Tabla3[[#This Row], [MONTO BRUTO]]-Tabla3[[#This Row], [DETRACCION]])</f>
      </c>
      <c r="Y36" s="119">
        <f>+Tabla3[[#This Row], [MONTO NETO A PAGAR]]-Tabla3[[#This Row], [MONTO PAGADO]]</f>
      </c>
      <c r="Z36" s="147">
        <f>IF(Tabla3[[#This Row], [MONTO PAGADO]]=0,"",(+IF(Tabla3[[#This Row], [SALDO POR PAGAR]]=0,"TOTAL","PARCIAL")))</f>
      </c>
    </row>
    <row x14ac:dyDescent="0.25" r="37" customHeight="1" ht="18.75">
      <c r="A37" s="116">
        <v>30</v>
      </c>
      <c r="B37" s="142">
        <v>46198</v>
      </c>
      <c r="C37" s="143">
        <v>46198</v>
      </c>
      <c r="D37" s="120" t="s">
        <v>1099</v>
      </c>
      <c r="E37" s="144" t="s">
        <v>1047</v>
      </c>
      <c r="F37" s="145" t="s">
        <v>149</v>
      </c>
      <c r="G37" s="146" t="s">
        <v>971</v>
      </c>
      <c r="H37" s="120">
        <f>IFERROR(+VLOOKUP(G37,Tabla1[#All],2,FALSE),"-")</f>
      </c>
      <c r="I37" s="147" t="s">
        <v>224</v>
      </c>
      <c r="J37" s="120" t="s">
        <v>1158</v>
      </c>
      <c r="K37" s="144" t="s">
        <v>1182</v>
      </c>
      <c r="L37" s="148" t="s">
        <v>1183</v>
      </c>
      <c r="M37" s="120" t="s">
        <v>1147</v>
      </c>
      <c r="N37" s="149">
        <f>IF(Tabla3[[#This Row], [NRO. DOI]]="","",(IF(Tabla3[[#This Row], [MONEDA]]="Soles",(+VLOOKUP(G37,Tabla1[#All],3,FALSE)),(+VLOOKUP(G37,Tabla6[#All],3,FALSE)))))</f>
      </c>
      <c r="O37" s="120">
        <f>IF(Tabla3[[#This Row], [NRO. DOI]]="","",(IF(Tabla3[[#This Row], [MONEDA]]="Soles",(+VLOOKUP(G37,Tabla1[#All],4,FALSE)),(+VLOOKUP(G37,Tabla6[#All],4,FALSE)))))</f>
      </c>
      <c r="P37" s="147" t="s">
        <v>127</v>
      </c>
      <c r="Q37" s="150"/>
      <c r="R37" s="119">
        <v>190</v>
      </c>
      <c r="S37" s="119">
        <f>+IF(Tabla3[[#This Row], [MONEDA]]="DOLARES",Tabla3[[#This Row], [MONTO BRUTO]]*Tabla3[[#This Row], [TIPO DE CAMBIO]],0)</f>
      </c>
      <c r="T37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7" s="119">
        <f>IF(Tabla3[[#This Row], [TIPO DE BIEN O SERVICIO]]="",0,+Tabla3[[#This Row], [MONTO BRUTO]]-Tabla3[[#This Row], [DETRACCION]])</f>
      </c>
      <c r="V37" s="149" t="s">
        <v>312</v>
      </c>
      <c r="W37" s="142">
        <v>46204</v>
      </c>
      <c r="X37" s="119">
        <f>IF(Tabla3[[#This Row], [TIPO DE BIEN O SERVICIO]]="",0,+Tabla3[[#This Row], [MONTO BRUTO]]-Tabla3[[#This Row], [DETRACCION]])</f>
      </c>
      <c r="Y37" s="119">
        <f>+Tabla3[[#This Row], [MONTO NETO A PAGAR]]-Tabla3[[#This Row], [MONTO PAGADO]]</f>
      </c>
      <c r="Z37" s="147">
        <f>IF(Tabla3[[#This Row], [MONTO PAGADO]]=0,"",(+IF(Tabla3[[#This Row], [SALDO POR PAGAR]]=0,"TOTAL","PARCIAL")))</f>
      </c>
    </row>
    <row x14ac:dyDescent="0.25" r="38" customHeight="1" ht="18.75">
      <c r="A38" s="116">
        <v>31</v>
      </c>
      <c r="B38" s="142">
        <v>46175</v>
      </c>
      <c r="C38" s="143">
        <v>46175</v>
      </c>
      <c r="D38" s="120" t="s">
        <v>1099</v>
      </c>
      <c r="E38" s="144" t="s">
        <v>1047</v>
      </c>
      <c r="F38" s="145" t="s">
        <v>149</v>
      </c>
      <c r="G38" s="146" t="s">
        <v>151</v>
      </c>
      <c r="H38" s="147">
        <f>IFERROR(+VLOOKUP(G38,Tabla1[#All],2,FALSE),"-")</f>
      </c>
      <c r="I38" s="147" t="s">
        <v>230</v>
      </c>
      <c r="J38" s="120" t="s">
        <v>1184</v>
      </c>
      <c r="K38" s="144" t="s">
        <v>1185</v>
      </c>
      <c r="L38" s="148" t="s">
        <v>1186</v>
      </c>
      <c r="M38" s="120" t="s">
        <v>1187</v>
      </c>
      <c r="N38" s="149">
        <f>IF(Tabla3[[#This Row], [NRO. DOI]]="","",(IF(Tabla3[[#This Row], [MONEDA]]="Soles",(+VLOOKUP(G38,Tabla1[#All],3,FALSE)),(+VLOOKUP(G38,Tabla6[#All],3,FALSE)))))</f>
      </c>
      <c r="O38" s="120">
        <f>IF(Tabla3[[#This Row], [NRO. DOI]]="","",(IF(Tabla3[[#This Row], [MONEDA]]="Soles",(+VLOOKUP(G38,Tabla1[#All],4,FALSE)),(+VLOOKUP(G38,Tabla6[#All],4,FALSE)))))</f>
      </c>
      <c r="P38" s="147" t="s">
        <v>127</v>
      </c>
      <c r="Q38" s="150"/>
      <c r="R38" s="119">
        <v>17430.31</v>
      </c>
      <c r="S38" s="119">
        <f>+IF(Tabla3[[#This Row], [MONEDA]]="DOLARES",Tabla3[[#This Row], [MONTO BRUTO]]*Tabla3[[#This Row], [TIPO DE CAMBIO]],0)</f>
      </c>
      <c r="T38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8" s="119">
        <f>IF(Tabla3[[#This Row], [TIPO DE BIEN O SERVICIO]]="",0,+Tabla3[[#This Row], [MONTO BRUTO]]-Tabla3[[#This Row], [DETRACCION]])</f>
      </c>
      <c r="V38" s="149" t="s">
        <v>312</v>
      </c>
      <c r="W38" s="142">
        <v>46204</v>
      </c>
      <c r="X38" s="151">
        <f>IF(Tabla3[[#This Row], [TIPO DE BIEN O SERVICIO]]="",0,+Tabla3[[#This Row], [MONTO BRUTO]]-Tabla3[[#This Row], [DETRACCION]])</f>
      </c>
      <c r="Y38" s="151">
        <f>+Tabla3[[#This Row], [MONTO NETO A PAGAR]]-Tabla3[[#This Row], [MONTO PAGADO]]</f>
      </c>
      <c r="Z38" s="147">
        <f>IF(Tabla3[[#This Row], [MONTO PAGADO]]=0,"",(+IF(Tabla3[[#This Row], [SALDO POR PAGAR]]=0,"TOTAL","PARCIAL")))</f>
      </c>
    </row>
    <row x14ac:dyDescent="0.25" r="39" customHeight="1" ht="18.75">
      <c r="A39" s="116">
        <v>32</v>
      </c>
      <c r="B39" s="142">
        <v>46184</v>
      </c>
      <c r="C39" s="143">
        <v>46182</v>
      </c>
      <c r="D39" s="120" t="s">
        <v>1099</v>
      </c>
      <c r="E39" s="144" t="s">
        <v>1047</v>
      </c>
      <c r="F39" s="145" t="s">
        <v>149</v>
      </c>
      <c r="G39" s="146" t="s">
        <v>157</v>
      </c>
      <c r="H39" s="147">
        <f>IFERROR(+VLOOKUP(G39,Tabla1[#All],2,FALSE),"-")</f>
      </c>
      <c r="I39" s="147" t="s">
        <v>230</v>
      </c>
      <c r="J39" s="120" t="s">
        <v>1188</v>
      </c>
      <c r="K39" s="144" t="s">
        <v>1189</v>
      </c>
      <c r="L39" s="148" t="s">
        <v>1190</v>
      </c>
      <c r="M39" s="120" t="s">
        <v>1113</v>
      </c>
      <c r="N39" s="149">
        <f>IF(Tabla3[[#This Row], [NRO. DOI]]="","",(IF(Tabla3[[#This Row], [MONEDA]]="Soles",(+VLOOKUP(G39,Tabla1[#All],3,FALSE)),(+VLOOKUP(G39,Tabla6[#All],3,FALSE)))))</f>
      </c>
      <c r="O39" s="120">
        <f>IF(Tabla3[[#This Row], [NRO. DOI]]="","",(IF(Tabla3[[#This Row], [MONEDA]]="Soles",(+VLOOKUP(G39,Tabla1[#All],4,FALSE)),(+VLOOKUP(G39,Tabla6[#All],4,FALSE)))))</f>
      </c>
      <c r="P39" s="147" t="s">
        <v>127</v>
      </c>
      <c r="Q39" s="150"/>
      <c r="R39" s="119">
        <v>441</v>
      </c>
      <c r="S39" s="119">
        <f>+IF(Tabla3[[#This Row], [MONEDA]]="DOLARES",Tabla3[[#This Row], [MONTO BRUTO]]*Tabla3[[#This Row], [TIPO DE CAMBIO]],0)</f>
      </c>
      <c r="T39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39" s="119">
        <f>IF(Tabla3[[#This Row], [TIPO DE BIEN O SERVICIO]]="",0,+Tabla3[[#This Row], [MONTO BRUTO]]-Tabla3[[#This Row], [DETRACCION]])</f>
      </c>
      <c r="V39" s="149" t="s">
        <v>312</v>
      </c>
      <c r="W39" s="142">
        <v>46204</v>
      </c>
      <c r="X39" s="151">
        <f>IF(Tabla3[[#This Row], [TIPO DE BIEN O SERVICIO]]="",0,+Tabla3[[#This Row], [MONTO BRUTO]]-Tabla3[[#This Row], [DETRACCION]])</f>
      </c>
      <c r="Y39" s="151">
        <f>+Tabla3[[#This Row], [MONTO NETO A PAGAR]]-Tabla3[[#This Row], [MONTO PAGADO]]</f>
      </c>
      <c r="Z39" s="147">
        <f>IF(Tabla3[[#This Row], [MONTO PAGADO]]=0,"",(+IF(Tabla3[[#This Row], [SALDO POR PAGAR]]=0,"TOTAL","PARCIAL")))</f>
      </c>
    </row>
    <row x14ac:dyDescent="0.25" r="40" customHeight="1" ht="18.75">
      <c r="A40" s="116">
        <v>33</v>
      </c>
      <c r="B40" s="142">
        <v>46184</v>
      </c>
      <c r="C40" s="143">
        <v>46181</v>
      </c>
      <c r="D40" s="120" t="s">
        <v>1099</v>
      </c>
      <c r="E40" s="144" t="s">
        <v>1047</v>
      </c>
      <c r="F40" s="145" t="s">
        <v>149</v>
      </c>
      <c r="G40" s="146" t="s">
        <v>174</v>
      </c>
      <c r="H40" s="147">
        <f>IFERROR(+VLOOKUP(G40,Tabla1[#All],2,FALSE),"-")</f>
      </c>
      <c r="I40" s="147" t="s">
        <v>218</v>
      </c>
      <c r="J40" s="120" t="s">
        <v>1191</v>
      </c>
      <c r="K40" s="144" t="s">
        <v>1192</v>
      </c>
      <c r="L40" s="148" t="s">
        <v>1193</v>
      </c>
      <c r="M40" s="120" t="s">
        <v>1113</v>
      </c>
      <c r="N40" s="149">
        <f>IF(Tabla3[[#This Row], [NRO. DOI]]="","",(IF(Tabla3[[#This Row], [MONEDA]]="Soles",(+VLOOKUP(G40,Tabla1[#All],3,FALSE)),(+VLOOKUP(G40,Tabla6[#All],3,FALSE)))))</f>
      </c>
      <c r="O40" s="120">
        <f>IF(Tabla3[[#This Row], [NRO. DOI]]="","",(IF(Tabla3[[#This Row], [MONEDA]]="Soles",(+VLOOKUP(G40,Tabla1[#All],4,FALSE)),(+VLOOKUP(G40,Tabla6[#All],4,FALSE)))))</f>
      </c>
      <c r="P40" s="147" t="s">
        <v>127</v>
      </c>
      <c r="Q40" s="150"/>
      <c r="R40" s="119">
        <v>339.84</v>
      </c>
      <c r="S40" s="119">
        <f>+IF(Tabla3[[#This Row], [MONEDA]]="DOLARES",Tabla3[[#This Row], [MONTO BRUTO]]*Tabla3[[#This Row], [TIPO DE CAMBIO]],0)</f>
      </c>
      <c r="T40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0" s="119">
        <f>IF(Tabla3[[#This Row], [TIPO DE BIEN O SERVICIO]]="",0,+Tabla3[[#This Row], [MONTO BRUTO]]-Tabla3[[#This Row], [DETRACCION]])</f>
      </c>
      <c r="V40" s="149" t="s">
        <v>312</v>
      </c>
      <c r="W40" s="142">
        <v>46204</v>
      </c>
      <c r="X40" s="151">
        <f>IF(Tabla3[[#This Row], [TIPO DE BIEN O SERVICIO]]="",0,+Tabla3[[#This Row], [MONTO BRUTO]]-Tabla3[[#This Row], [DETRACCION]])</f>
      </c>
      <c r="Y40" s="151">
        <f>+Tabla3[[#This Row], [MONTO NETO A PAGAR]]-Tabla3[[#This Row], [MONTO PAGADO]]</f>
      </c>
      <c r="Z40" s="147">
        <f>IF(Tabla3[[#This Row], [MONTO PAGADO]]=0,"",(+IF(Tabla3[[#This Row], [SALDO POR PAGAR]]=0,"TOTAL","PARCIAL")))</f>
      </c>
    </row>
    <row x14ac:dyDescent="0.25" r="41" customHeight="1" ht="18.75">
      <c r="A41" s="116">
        <v>34</v>
      </c>
      <c r="B41" s="142">
        <v>46177</v>
      </c>
      <c r="C41" s="143">
        <v>46175</v>
      </c>
      <c r="D41" s="120" t="s">
        <v>1099</v>
      </c>
      <c r="E41" s="144" t="s">
        <v>1047</v>
      </c>
      <c r="F41" s="145" t="s">
        <v>149</v>
      </c>
      <c r="G41" s="146" t="s">
        <v>974</v>
      </c>
      <c r="H41" s="147">
        <f>IFERROR(+VLOOKUP(G41,Tabla1[#All],2,FALSE),"-")</f>
      </c>
      <c r="I41" s="147" t="s">
        <v>230</v>
      </c>
      <c r="J41" s="120" t="s">
        <v>1051</v>
      </c>
      <c r="K41" s="144" t="s">
        <v>1194</v>
      </c>
      <c r="L41" s="148" t="s">
        <v>1052</v>
      </c>
      <c r="M41" s="120" t="s">
        <v>1166</v>
      </c>
      <c r="N41" s="149">
        <f>IF(Tabla3[[#This Row], [NRO. DOI]]="","",(IF(Tabla3[[#This Row], [MONEDA]]="Soles",(+VLOOKUP(G41,Tabla1[#All],3,FALSE)),(+VLOOKUP(G41,Tabla6[#All],3,FALSE)))))</f>
      </c>
      <c r="O41" s="120">
        <f>IF(Tabla3[[#This Row], [NRO. DOI]]="","",(IF(Tabla3[[#This Row], [MONEDA]]="Soles",(+VLOOKUP(G41,Tabla1[#All],4,FALSE)),(+VLOOKUP(G41,Tabla6[#All],4,FALSE)))))</f>
      </c>
      <c r="P41" s="147" t="s">
        <v>128</v>
      </c>
      <c r="Q41" s="150">
        <v>3.5</v>
      </c>
      <c r="R41" s="119">
        <v>1568.14</v>
      </c>
      <c r="S41" s="119">
        <f>+IF(Tabla3[[#This Row], [MONEDA]]="DOLARES",Tabla3[[#This Row], [MONTO BRUTO]]*Tabla3[[#This Row], [TIPO DE CAMBIO]],0)</f>
      </c>
      <c r="T41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1" s="119">
        <f>IF(Tabla3[[#This Row], [TIPO DE BIEN O SERVICIO]]="",0,+Tabla3[[#This Row], [MONTO BRUTO]]-Tabla3[[#This Row], [DETRACCION]])</f>
      </c>
      <c r="V41" s="149" t="s">
        <v>123</v>
      </c>
      <c r="W41" s="142">
        <v>46204</v>
      </c>
      <c r="X41" s="151">
        <f>IF(Tabla3[[#This Row], [TIPO DE BIEN O SERVICIO]]="",0,+Tabla3[[#This Row], [MONTO BRUTO]]-Tabla3[[#This Row], [DETRACCION]])</f>
      </c>
      <c r="Y41" s="151">
        <f>+Tabla3[[#This Row], [MONTO NETO A PAGAR]]-Tabla3[[#This Row], [MONTO PAGADO]]</f>
      </c>
      <c r="Z41" s="147">
        <f>IF(Tabla3[[#This Row], [MONTO PAGADO]]=0,"",(+IF(Tabla3[[#This Row], [SALDO POR PAGAR]]=0,"TOTAL","PARCIAL")))</f>
      </c>
    </row>
    <row x14ac:dyDescent="0.25" r="42" customHeight="1" ht="18.75">
      <c r="A42" s="116">
        <v>35</v>
      </c>
      <c r="B42" s="142">
        <v>46174</v>
      </c>
      <c r="C42" s="143">
        <v>46174</v>
      </c>
      <c r="D42" s="120" t="s">
        <v>1099</v>
      </c>
      <c r="E42" s="144" t="s">
        <v>1047</v>
      </c>
      <c r="F42" s="145" t="s">
        <v>149</v>
      </c>
      <c r="G42" s="146" t="s">
        <v>187</v>
      </c>
      <c r="H42" s="147">
        <f>IFERROR(+VLOOKUP(G42,Tabla1[#All],2,FALSE),"-")</f>
      </c>
      <c r="I42" s="147" t="s">
        <v>230</v>
      </c>
      <c r="J42" s="120" t="s">
        <v>1195</v>
      </c>
      <c r="K42" s="144" t="s">
        <v>1196</v>
      </c>
      <c r="L42" s="148" t="s">
        <v>1197</v>
      </c>
      <c r="M42" s="120" t="s">
        <v>1110</v>
      </c>
      <c r="N42" s="149">
        <f>IF(Tabla3[[#This Row], [NRO. DOI]]="","",(IF(Tabla3[[#This Row], [MONEDA]]="Soles",(+VLOOKUP(G42,Tabla1[#All],3,FALSE)),(+VLOOKUP(G42,Tabla6[#All],3,FALSE)))))</f>
      </c>
      <c r="O42" s="120">
        <f>IF(Tabla3[[#This Row], [NRO. DOI]]="","",(IF(Tabla3[[#This Row], [MONEDA]]="Soles",(+VLOOKUP(G42,Tabla1[#All],4,FALSE)),(+VLOOKUP(G42,Tabla6[#All],4,FALSE)))))</f>
      </c>
      <c r="P42" s="147" t="s">
        <v>127</v>
      </c>
      <c r="Q42" s="150"/>
      <c r="R42" s="119">
        <v>27966</v>
      </c>
      <c r="S42" s="119">
        <f>+IF(Tabla3[[#This Row], [MONEDA]]="DOLARES",Tabla3[[#This Row], [MONTO BRUTO]]*Tabla3[[#This Row], [TIPO DE CAMBIO]],0)</f>
      </c>
      <c r="T42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2" s="119">
        <f>IF(Tabla3[[#This Row], [TIPO DE BIEN O SERVICIO]]="",0,+Tabla3[[#This Row], [MONTO BRUTO]]-Tabla3[[#This Row], [DETRACCION]])</f>
      </c>
      <c r="V42" s="149" t="s">
        <v>312</v>
      </c>
      <c r="W42" s="142">
        <v>46204</v>
      </c>
      <c r="X42" s="151">
        <f>IF(Tabla3[[#This Row], [TIPO DE BIEN O SERVICIO]]="",0,+Tabla3[[#This Row], [MONTO BRUTO]]-Tabla3[[#This Row], [DETRACCION]])</f>
      </c>
      <c r="Y42" s="151">
        <f>+Tabla3[[#This Row], [MONTO NETO A PAGAR]]-Tabla3[[#This Row], [MONTO PAGADO]]</f>
      </c>
      <c r="Z42" s="147">
        <f>IF(Tabla3[[#This Row], [MONTO PAGADO]]=0,"",(+IF(Tabla3[[#This Row], [SALDO POR PAGAR]]=0,"TOTAL","PARCIAL")))</f>
      </c>
    </row>
    <row x14ac:dyDescent="0.25" r="43" customHeight="1" ht="18.75">
      <c r="A43" s="116">
        <v>36</v>
      </c>
      <c r="B43" s="142">
        <v>46174</v>
      </c>
      <c r="C43" s="143">
        <v>46174</v>
      </c>
      <c r="D43" s="120" t="s">
        <v>1099</v>
      </c>
      <c r="E43" s="144" t="s">
        <v>1047</v>
      </c>
      <c r="F43" s="145" t="s">
        <v>149</v>
      </c>
      <c r="G43" s="146" t="s">
        <v>714</v>
      </c>
      <c r="H43" s="147">
        <f>IFERROR(+VLOOKUP(G43,Tabla1[#All],2,FALSE),"-")</f>
      </c>
      <c r="I43" s="147" t="s">
        <v>230</v>
      </c>
      <c r="J43" s="120" t="s">
        <v>1198</v>
      </c>
      <c r="K43" s="144" t="s">
        <v>1199</v>
      </c>
      <c r="L43" s="148" t="s">
        <v>1200</v>
      </c>
      <c r="M43" s="120" t="s">
        <v>1113</v>
      </c>
      <c r="N43" s="149">
        <f>IF(Tabla3[[#This Row], [NRO. DOI]]="","",(IF(Tabla3[[#This Row], [MONEDA]]="Soles",(+VLOOKUP(G43,Tabla1[#All],3,FALSE)),(+VLOOKUP(G43,Tabla6[#All],3,FALSE)))))</f>
      </c>
      <c r="O43" s="120">
        <f>IF(Tabla3[[#This Row], [NRO. DOI]]="","",(IF(Tabla3[[#This Row], [MONEDA]]="Soles",(+VLOOKUP(G43,Tabla1[#All],4,FALSE)),(+VLOOKUP(G43,Tabla6[#All],4,FALSE)))))</f>
      </c>
      <c r="P43" s="147" t="s">
        <v>127</v>
      </c>
      <c r="Q43" s="150"/>
      <c r="R43" s="119">
        <v>3240.11</v>
      </c>
      <c r="S43" s="119">
        <f>+IF(Tabla3[[#This Row], [MONEDA]]="DOLARES",Tabla3[[#This Row], [MONTO BRUTO]]*Tabla3[[#This Row], [TIPO DE CAMBIO]],0)</f>
      </c>
      <c r="T43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3" s="119">
        <f>IF(Tabla3[[#This Row], [TIPO DE BIEN O SERVICIO]]="",0,+Tabla3[[#This Row], [MONTO BRUTO]]-Tabla3[[#This Row], [DETRACCION]])</f>
      </c>
      <c r="V43" s="149" t="s">
        <v>312</v>
      </c>
      <c r="W43" s="142">
        <v>46204</v>
      </c>
      <c r="X43" s="151">
        <f>IF(Tabla3[[#This Row], [TIPO DE BIEN O SERVICIO]]="",0,+Tabla3[[#This Row], [MONTO BRUTO]]-Tabla3[[#This Row], [DETRACCION]])</f>
      </c>
      <c r="Y43" s="151">
        <f>+Tabla3[[#This Row], [MONTO NETO A PAGAR]]-Tabla3[[#This Row], [MONTO PAGADO]]</f>
      </c>
      <c r="Z43" s="147">
        <f>IF(Tabla3[[#This Row], [MONTO PAGADO]]=0,"",(+IF(Tabla3[[#This Row], [SALDO POR PAGAR]]=0,"TOTAL","PARCIAL")))</f>
      </c>
    </row>
    <row x14ac:dyDescent="0.25" r="44" customHeight="1" ht="18.75">
      <c r="A44" s="116">
        <v>37</v>
      </c>
      <c r="B44" s="142">
        <v>46199</v>
      </c>
      <c r="C44" s="143">
        <v>46199</v>
      </c>
      <c r="D44" s="120" t="s">
        <v>1099</v>
      </c>
      <c r="E44" s="144" t="s">
        <v>1047</v>
      </c>
      <c r="F44" s="145" t="s">
        <v>149</v>
      </c>
      <c r="G44" s="146" t="s">
        <v>811</v>
      </c>
      <c r="H44" s="147">
        <f>IFERROR(+VLOOKUP(G44,Tabla1[#All],2,FALSE),"-")</f>
      </c>
      <c r="I44" s="147" t="s">
        <v>230</v>
      </c>
      <c r="J44" s="120" t="s">
        <v>1201</v>
      </c>
      <c r="K44" s="144" t="s">
        <v>1202</v>
      </c>
      <c r="L44" s="148" t="s">
        <v>1203</v>
      </c>
      <c r="M44" s="120" t="s">
        <v>1170</v>
      </c>
      <c r="N44" s="149">
        <f>IF(Tabla3[[#This Row], [NRO. DOI]]="","",(IF(Tabla3[[#This Row], [MONEDA]]="Soles",(+VLOOKUP(G44,Tabla1[#All],3,FALSE)),(+VLOOKUP(G44,Tabla6[#All],3,FALSE)))))</f>
      </c>
      <c r="O44" s="120">
        <f>IF(Tabla3[[#This Row], [NRO. DOI]]="","",(IF(Tabla3[[#This Row], [MONEDA]]="Soles",(+VLOOKUP(G44,Tabla1[#All],4,FALSE)),(+VLOOKUP(G44,Tabla6[#All],4,FALSE)))))</f>
      </c>
      <c r="P44" s="147" t="s">
        <v>127</v>
      </c>
      <c r="Q44" s="150"/>
      <c r="R44" s="119">
        <v>41005.8</v>
      </c>
      <c r="S44" s="119">
        <f>+IF(Tabla3[[#This Row], [MONEDA]]="DOLARES",Tabla3[[#This Row], [MONTO BRUTO]]*Tabla3[[#This Row], [TIPO DE CAMBIO]],0)</f>
      </c>
      <c r="T44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4" s="119">
        <f>IF(Tabla3[[#This Row], [TIPO DE BIEN O SERVICIO]]="",0,+Tabla3[[#This Row], [MONTO BRUTO]]-Tabla3[[#This Row], [DETRACCION]])</f>
      </c>
      <c r="V44" s="149" t="s">
        <v>312</v>
      </c>
      <c r="W44" s="142">
        <v>46204</v>
      </c>
      <c r="X44" s="151">
        <f>IF(Tabla3[[#This Row], [TIPO DE BIEN O SERVICIO]]="",0,+Tabla3[[#This Row], [MONTO BRUTO]]-Tabla3[[#This Row], [DETRACCION]])</f>
      </c>
      <c r="Y44" s="151">
        <f>+Tabla3[[#This Row], [MONTO NETO A PAGAR]]-Tabla3[[#This Row], [MONTO PAGADO]]</f>
      </c>
      <c r="Z44" s="147">
        <f>IF(Tabla3[[#This Row], [MONTO PAGADO]]=0,"",(+IF(Tabla3[[#This Row], [SALDO POR PAGAR]]=0,"TOTAL","PARCIAL")))</f>
      </c>
    </row>
    <row x14ac:dyDescent="0.25" r="45" customHeight="1" ht="18.75">
      <c r="A45" s="116">
        <v>38</v>
      </c>
      <c r="B45" s="142">
        <v>46199</v>
      </c>
      <c r="C45" s="143">
        <v>46199</v>
      </c>
      <c r="D45" s="120" t="s">
        <v>1099</v>
      </c>
      <c r="E45" s="144" t="s">
        <v>1047</v>
      </c>
      <c r="F45" s="145" t="s">
        <v>1114</v>
      </c>
      <c r="G45" s="146" t="s">
        <v>231</v>
      </c>
      <c r="H45" s="147">
        <f>IFERROR(+VLOOKUP(G45,Tabla1[#All],2,FALSE),"-")</f>
      </c>
      <c r="I45" s="147" t="s">
        <v>218</v>
      </c>
      <c r="J45" s="120" t="s">
        <v>1053</v>
      </c>
      <c r="K45" s="11"/>
      <c r="L45" s="148" t="s">
        <v>1054</v>
      </c>
      <c r="M45" s="120" t="s">
        <v>1113</v>
      </c>
      <c r="N45" s="149">
        <f>IF(Tabla3[[#This Row], [NRO. DOI]]="","",(IF(Tabla3[[#This Row], [MONEDA]]="Soles",(+VLOOKUP(G45,Tabla1[#All],3,FALSE)),(+VLOOKUP(G45,Tabla6[#All],3,FALSE)))))</f>
      </c>
      <c r="O45" s="120">
        <f>IF(Tabla3[[#This Row], [NRO. DOI]]="","",(IF(Tabla3[[#This Row], [MONEDA]]="Soles",(+VLOOKUP(G45,Tabla1[#All],4,FALSE)),(+VLOOKUP(G45,Tabla6[#All],4,FALSE)))))</f>
      </c>
      <c r="P45" s="147" t="s">
        <v>128</v>
      </c>
      <c r="Q45" s="150">
        <v>3.5</v>
      </c>
      <c r="R45" s="119">
        <v>11250</v>
      </c>
      <c r="S45" s="119">
        <f>+IF(Tabla3[[#This Row], [MONEDA]]="DOLARES",Tabla3[[#This Row], [MONTO BRUTO]]*Tabla3[[#This Row], [TIPO DE CAMBIO]],0)</f>
      </c>
      <c r="T45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5" s="119">
        <f>IF(Tabla3[[#This Row], [TIPO DE BIEN O SERVICIO]]="",0,+Tabla3[[#This Row], [MONTO BRUTO]]-Tabla3[[#This Row], [DETRACCION]])</f>
      </c>
      <c r="V45" s="149" t="s">
        <v>123</v>
      </c>
      <c r="W45" s="142">
        <v>46204</v>
      </c>
      <c r="X45" s="151">
        <f>IF(Tabla3[[#This Row], [TIPO DE BIEN O SERVICIO]]="",0,+Tabla3[[#This Row], [MONTO BRUTO]]-Tabla3[[#This Row], [DETRACCION]])</f>
      </c>
      <c r="Y45" s="151">
        <f>+Tabla3[[#This Row], [MONTO NETO A PAGAR]]-Tabla3[[#This Row], [MONTO PAGADO]]</f>
      </c>
      <c r="Z45" s="147">
        <f>IF(Tabla3[[#This Row], [MONTO PAGADO]]=0,"",(+IF(Tabla3[[#This Row], [SALDO POR PAGAR]]=0,"TOTAL","PARCIAL")))</f>
      </c>
    </row>
    <row x14ac:dyDescent="0.25" r="46" customHeight="1" ht="18.75">
      <c r="A46" s="116">
        <v>39</v>
      </c>
      <c r="B46" s="142">
        <v>46199</v>
      </c>
      <c r="C46" s="143">
        <v>46199</v>
      </c>
      <c r="D46" s="120" t="s">
        <v>1099</v>
      </c>
      <c r="E46" s="144" t="s">
        <v>1047</v>
      </c>
      <c r="F46" s="145" t="s">
        <v>1114</v>
      </c>
      <c r="G46" s="146" t="s">
        <v>231</v>
      </c>
      <c r="H46" s="147">
        <f>IFERROR(+VLOOKUP(G46,Tabla1[#All],2,FALSE),"-")</f>
      </c>
      <c r="I46" s="147" t="s">
        <v>218</v>
      </c>
      <c r="J46" s="120" t="s">
        <v>1055</v>
      </c>
      <c r="K46" s="11"/>
      <c r="L46" s="148" t="s">
        <v>1056</v>
      </c>
      <c r="M46" s="120" t="s">
        <v>1113</v>
      </c>
      <c r="N46" s="149">
        <f>IF(Tabla3[[#This Row], [NRO. DOI]]="","",(IF(Tabla3[[#This Row], [MONEDA]]="Soles",(+VLOOKUP(G46,Tabla1[#All],3,FALSE)),(+VLOOKUP(G46,Tabla6[#All],3,FALSE)))))</f>
      </c>
      <c r="O46" s="120">
        <f>IF(Tabla3[[#This Row], [NRO. DOI]]="","",(IF(Tabla3[[#This Row], [MONEDA]]="Soles",(+VLOOKUP(G46,Tabla1[#All],4,FALSE)),(+VLOOKUP(G46,Tabla6[#All],4,FALSE)))))</f>
      </c>
      <c r="P46" s="147" t="s">
        <v>128</v>
      </c>
      <c r="Q46" s="150">
        <v>3.5</v>
      </c>
      <c r="R46" s="119">
        <v>4152.36</v>
      </c>
      <c r="S46" s="119">
        <f>+IF(Tabla3[[#This Row], [MONEDA]]="DOLARES",Tabla3[[#This Row], [MONTO BRUTO]]*Tabla3[[#This Row], [TIPO DE CAMBIO]],0)</f>
      </c>
      <c r="T46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6" s="119">
        <f>IF(Tabla3[[#This Row], [TIPO DE BIEN O SERVICIO]]="",0,+Tabla3[[#This Row], [MONTO BRUTO]]-Tabla3[[#This Row], [DETRACCION]])</f>
      </c>
      <c r="V46" s="149" t="s">
        <v>123</v>
      </c>
      <c r="W46" s="142">
        <v>46204</v>
      </c>
      <c r="X46" s="151">
        <f>IF(Tabla3[[#This Row], [TIPO DE BIEN O SERVICIO]]="",0,+Tabla3[[#This Row], [MONTO BRUTO]]-Tabla3[[#This Row], [DETRACCION]])</f>
      </c>
      <c r="Y46" s="151">
        <f>+Tabla3[[#This Row], [MONTO NETO A PAGAR]]-Tabla3[[#This Row], [MONTO PAGADO]]</f>
      </c>
      <c r="Z46" s="147">
        <f>IF(Tabla3[[#This Row], [MONTO PAGADO]]=0,"",(+IF(Tabla3[[#This Row], [SALDO POR PAGAR]]=0,"TOTAL","PARCIAL")))</f>
      </c>
    </row>
    <row x14ac:dyDescent="0.25" r="47" customHeight="1" ht="18.75">
      <c r="A47" s="116">
        <v>40</v>
      </c>
      <c r="B47" s="142">
        <v>46199</v>
      </c>
      <c r="C47" s="143">
        <v>46199</v>
      </c>
      <c r="D47" s="120" t="s">
        <v>1099</v>
      </c>
      <c r="E47" s="144" t="s">
        <v>1047</v>
      </c>
      <c r="F47" s="145" t="s">
        <v>1114</v>
      </c>
      <c r="G47" s="146" t="s">
        <v>237</v>
      </c>
      <c r="H47" s="147">
        <f>IFERROR(+VLOOKUP(G47,Tabla1[#All],2,FALSE),"-")</f>
      </c>
      <c r="I47" s="147" t="s">
        <v>218</v>
      </c>
      <c r="J47" s="120" t="s">
        <v>1057</v>
      </c>
      <c r="K47" s="11"/>
      <c r="L47" s="148" t="s">
        <v>1058</v>
      </c>
      <c r="M47" s="120" t="s">
        <v>1113</v>
      </c>
      <c r="N47" s="149">
        <f>IF(Tabla3[[#This Row], [NRO. DOI]]="","",(IF(Tabla3[[#This Row], [MONEDA]]="Soles",(+VLOOKUP(G47,Tabla1[#All],3,FALSE)),(+VLOOKUP(G47,Tabla6[#All],3,FALSE)))))</f>
      </c>
      <c r="O47" s="120">
        <f>IF(Tabla3[[#This Row], [NRO. DOI]]="","",(IF(Tabla3[[#This Row], [MONEDA]]="Soles",(+VLOOKUP(G47,Tabla1[#All],4,FALSE)),(+VLOOKUP(G47,Tabla6[#All],4,FALSE)))))</f>
      </c>
      <c r="P47" s="147" t="s">
        <v>128</v>
      </c>
      <c r="Q47" s="150">
        <v>3.5</v>
      </c>
      <c r="R47" s="119">
        <v>4031.42</v>
      </c>
      <c r="S47" s="119">
        <f>+IF(Tabla3[[#This Row], [MONEDA]]="DOLARES",Tabla3[[#This Row], [MONTO BRUTO]]*Tabla3[[#This Row], [TIPO DE CAMBIO]],0)</f>
      </c>
      <c r="T47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7" s="119">
        <f>IF(Tabla3[[#This Row], [TIPO DE BIEN O SERVICIO]]="",0,+Tabla3[[#This Row], [MONTO BRUTO]]-Tabla3[[#This Row], [DETRACCION]])</f>
      </c>
      <c r="V47" s="149" t="s">
        <v>123</v>
      </c>
      <c r="W47" s="142">
        <v>46204</v>
      </c>
      <c r="X47" s="151">
        <f>IF(Tabla3[[#This Row], [TIPO DE BIEN O SERVICIO]]="",0,+Tabla3[[#This Row], [MONTO BRUTO]]-Tabla3[[#This Row], [DETRACCION]])</f>
      </c>
      <c r="Y47" s="151">
        <f>+Tabla3[[#This Row], [MONTO NETO A PAGAR]]-Tabla3[[#This Row], [MONTO PAGADO]]</f>
      </c>
      <c r="Z47" s="147">
        <f>IF(Tabla3[[#This Row], [MONTO PAGADO]]=0,"",(+IF(Tabla3[[#This Row], [SALDO POR PAGAR]]=0,"TOTAL","PARCIAL")))</f>
      </c>
    </row>
    <row x14ac:dyDescent="0.25" r="48" customHeight="1" ht="18.75">
      <c r="A48" s="116">
        <v>41</v>
      </c>
      <c r="B48" s="142">
        <v>46199</v>
      </c>
      <c r="C48" s="143">
        <v>46199</v>
      </c>
      <c r="D48" s="120" t="s">
        <v>1099</v>
      </c>
      <c r="E48" s="144" t="s">
        <v>1047</v>
      </c>
      <c r="F48" s="145" t="s">
        <v>1114</v>
      </c>
      <c r="G48" s="146" t="s">
        <v>231</v>
      </c>
      <c r="H48" s="147">
        <f>IFERROR(+VLOOKUP(G48,Tabla1[#All],2,FALSE),"-")</f>
      </c>
      <c r="I48" s="147" t="s">
        <v>218</v>
      </c>
      <c r="J48" s="120" t="s">
        <v>1059</v>
      </c>
      <c r="K48" s="11"/>
      <c r="L48" s="148" t="s">
        <v>1060</v>
      </c>
      <c r="M48" s="120" t="s">
        <v>1113</v>
      </c>
      <c r="N48" s="149">
        <f>IF(Tabla3[[#This Row], [NRO. DOI]]="","",(IF(Tabla3[[#This Row], [MONEDA]]="Soles",(+VLOOKUP(G48,Tabla1[#All],3,FALSE)),(+VLOOKUP(G48,Tabla6[#All],3,FALSE)))))</f>
      </c>
      <c r="O48" s="120">
        <f>IF(Tabla3[[#This Row], [NRO. DOI]]="","",(IF(Tabla3[[#This Row], [MONEDA]]="Soles",(+VLOOKUP(G48,Tabla1[#All],4,FALSE)),(+VLOOKUP(G48,Tabla6[#All],4,FALSE)))))</f>
      </c>
      <c r="P48" s="147" t="s">
        <v>128</v>
      </c>
      <c r="Q48" s="150">
        <v>3.5</v>
      </c>
      <c r="R48" s="119">
        <v>4031.42</v>
      </c>
      <c r="S48" s="119">
        <f>+IF(Tabla3[[#This Row], [MONEDA]]="DOLARES",Tabla3[[#This Row], [MONTO BRUTO]]*Tabla3[[#This Row], [TIPO DE CAMBIO]],0)</f>
      </c>
      <c r="T48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8" s="119">
        <f>IF(Tabla3[[#This Row], [TIPO DE BIEN O SERVICIO]]="",0,+Tabla3[[#This Row], [MONTO BRUTO]]-Tabla3[[#This Row], [DETRACCION]])</f>
      </c>
      <c r="V48" s="149" t="s">
        <v>123</v>
      </c>
      <c r="W48" s="142">
        <v>46204</v>
      </c>
      <c r="X48" s="151">
        <f>IF(Tabla3[[#This Row], [TIPO DE BIEN O SERVICIO]]="",0,+Tabla3[[#This Row], [MONTO BRUTO]]-Tabla3[[#This Row], [DETRACCION]])</f>
      </c>
      <c r="Y48" s="151">
        <f>+Tabla3[[#This Row], [MONTO NETO A PAGAR]]-Tabla3[[#This Row], [MONTO PAGADO]]</f>
      </c>
      <c r="Z48" s="147">
        <f>IF(Tabla3[[#This Row], [MONTO PAGADO]]=0,"",(+IF(Tabla3[[#This Row], [SALDO POR PAGAR]]=0,"TOTAL","PARCIAL")))</f>
      </c>
    </row>
    <row x14ac:dyDescent="0.25" r="49" customHeight="1" ht="18.75">
      <c r="A49" s="116">
        <v>42</v>
      </c>
      <c r="B49" s="142">
        <v>46199</v>
      </c>
      <c r="C49" s="143">
        <v>46199</v>
      </c>
      <c r="D49" s="120" t="s">
        <v>1099</v>
      </c>
      <c r="E49" s="144" t="s">
        <v>1047</v>
      </c>
      <c r="F49" s="145" t="s">
        <v>1114</v>
      </c>
      <c r="G49" s="146" t="s">
        <v>231</v>
      </c>
      <c r="H49" s="147">
        <f>IFERROR(+VLOOKUP(G49,Tabla1[#All],2,FALSE),"-")</f>
      </c>
      <c r="I49" s="147" t="s">
        <v>218</v>
      </c>
      <c r="J49" s="120" t="s">
        <v>1204</v>
      </c>
      <c r="K49" s="11"/>
      <c r="L49" s="148" t="s">
        <v>1205</v>
      </c>
      <c r="M49" s="120" t="s">
        <v>1113</v>
      </c>
      <c r="N49" s="149">
        <f>IF(Tabla3[[#This Row], [NRO. DOI]]="","",(IF(Tabla3[[#This Row], [MONEDA]]="Soles",(+VLOOKUP(G49,Tabla1[#All],3,FALSE)),(+VLOOKUP(G49,Tabla6[#All],3,FALSE)))))</f>
      </c>
      <c r="O49" s="120">
        <f>IF(Tabla3[[#This Row], [NRO. DOI]]="","",(IF(Tabla3[[#This Row], [MONEDA]]="Soles",(+VLOOKUP(G49,Tabla1[#All],4,FALSE)),(+VLOOKUP(G49,Tabla6[#All],4,FALSE)))))</f>
      </c>
      <c r="P49" s="147" t="s">
        <v>128</v>
      </c>
      <c r="Q49" s="150">
        <v>3.5</v>
      </c>
      <c r="R49" s="119">
        <v>4152.36</v>
      </c>
      <c r="S49" s="119">
        <f>+IF(Tabla3[[#This Row], [MONEDA]]="DOLARES",Tabla3[[#This Row], [MONTO BRUTO]]*Tabla3[[#This Row], [TIPO DE CAMBIO]],0)</f>
      </c>
      <c r="T49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49" s="119">
        <f>IF(Tabla3[[#This Row], [TIPO DE BIEN O SERVICIO]]="",0,+Tabla3[[#This Row], [MONTO BRUTO]]-Tabla3[[#This Row], [DETRACCION]])</f>
      </c>
      <c r="V49" s="149" t="s">
        <v>312</v>
      </c>
      <c r="W49" s="142">
        <v>46204</v>
      </c>
      <c r="X49" s="151">
        <f>IF(Tabla3[[#This Row], [TIPO DE BIEN O SERVICIO]]="",0,+Tabla3[[#This Row], [MONTO BRUTO]]-Tabla3[[#This Row], [DETRACCION]])</f>
      </c>
      <c r="Y49" s="151">
        <f>+Tabla3[[#This Row], [MONTO NETO A PAGAR]]-Tabla3[[#This Row], [MONTO PAGADO]]</f>
      </c>
      <c r="Z49" s="147">
        <f>IF(Tabla3[[#This Row], [MONTO PAGADO]]=0,"",(+IF(Tabla3[[#This Row], [SALDO POR PAGAR]]=0,"TOTAL","PARCIAL")))</f>
      </c>
    </row>
    <row x14ac:dyDescent="0.25" r="50" customHeight="1" ht="18.75">
      <c r="A50" s="116">
        <v>43</v>
      </c>
      <c r="B50" s="142">
        <v>46199</v>
      </c>
      <c r="C50" s="143">
        <v>46199</v>
      </c>
      <c r="D50" s="120" t="s">
        <v>1099</v>
      </c>
      <c r="E50" s="144" t="s">
        <v>1047</v>
      </c>
      <c r="F50" s="145" t="s">
        <v>1114</v>
      </c>
      <c r="G50" s="146" t="s">
        <v>231</v>
      </c>
      <c r="H50" s="147">
        <f>IFERROR(+VLOOKUP(G50,Tabla1[#All],2,FALSE),"-")</f>
      </c>
      <c r="I50" s="147" t="s">
        <v>218</v>
      </c>
      <c r="J50" s="120" t="s">
        <v>1206</v>
      </c>
      <c r="K50" s="11"/>
      <c r="L50" s="148" t="s">
        <v>1207</v>
      </c>
      <c r="M50" s="120" t="s">
        <v>1113</v>
      </c>
      <c r="N50" s="149">
        <f>IF(Tabla3[[#This Row], [NRO. DOI]]="","",(IF(Tabla3[[#This Row], [MONEDA]]="Soles",(+VLOOKUP(G50,Tabla1[#All],3,FALSE)),(+VLOOKUP(G50,Tabla6[#All],3,FALSE)))))</f>
      </c>
      <c r="O50" s="120">
        <f>IF(Tabla3[[#This Row], [NRO. DOI]]="","",(IF(Tabla3[[#This Row], [MONEDA]]="Soles",(+VLOOKUP(G50,Tabla1[#All],4,FALSE)),(+VLOOKUP(G50,Tabla6[#All],4,FALSE)))))</f>
      </c>
      <c r="P50" s="147" t="s">
        <v>128</v>
      </c>
      <c r="Q50" s="150">
        <v>3.5</v>
      </c>
      <c r="R50" s="119">
        <v>7000</v>
      </c>
      <c r="S50" s="119">
        <f>+IF(Tabla3[[#This Row], [MONEDA]]="DOLARES",Tabla3[[#This Row], [MONTO BRUTO]]*Tabla3[[#This Row], [TIPO DE CAMBIO]],0)</f>
      </c>
      <c r="T50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0" s="119">
        <f>IF(Tabla3[[#This Row], [TIPO DE BIEN O SERVICIO]]="",0,+Tabla3[[#This Row], [MONTO BRUTO]]-Tabla3[[#This Row], [DETRACCION]])</f>
      </c>
      <c r="V50" s="149" t="s">
        <v>312</v>
      </c>
      <c r="W50" s="142">
        <v>46204</v>
      </c>
      <c r="X50" s="151">
        <f>IF(Tabla3[[#This Row], [TIPO DE BIEN O SERVICIO]]="",0,+Tabla3[[#This Row], [MONTO BRUTO]]-Tabla3[[#This Row], [DETRACCION]])</f>
      </c>
      <c r="Y50" s="151">
        <f>+Tabla3[[#This Row], [MONTO NETO A PAGAR]]-Tabla3[[#This Row], [MONTO PAGADO]]</f>
      </c>
      <c r="Z50" s="147">
        <f>IF(Tabla3[[#This Row], [MONTO PAGADO]]=0,"",(+IF(Tabla3[[#This Row], [SALDO POR PAGAR]]=0,"TOTAL","PARCIAL")))</f>
      </c>
    </row>
    <row x14ac:dyDescent="0.25" r="51" customHeight="1" ht="18.75">
      <c r="A51" s="116">
        <v>44</v>
      </c>
      <c r="B51" s="142">
        <v>46199</v>
      </c>
      <c r="C51" s="143">
        <v>46199</v>
      </c>
      <c r="D51" s="120" t="s">
        <v>1099</v>
      </c>
      <c r="E51" s="144" t="s">
        <v>1047</v>
      </c>
      <c r="F51" s="145" t="s">
        <v>1114</v>
      </c>
      <c r="G51" s="146" t="s">
        <v>237</v>
      </c>
      <c r="H51" s="147">
        <f>IFERROR(+VLOOKUP(G51,Tabla1[#All],2,FALSE),"-")</f>
      </c>
      <c r="I51" s="147" t="s">
        <v>218</v>
      </c>
      <c r="J51" s="120" t="s">
        <v>1208</v>
      </c>
      <c r="K51" s="11"/>
      <c r="L51" s="148" t="s">
        <v>1209</v>
      </c>
      <c r="M51" s="120" t="s">
        <v>1113</v>
      </c>
      <c r="N51" s="149">
        <f>IF(Tabla3[[#This Row], [NRO. DOI]]="","",(IF(Tabla3[[#This Row], [MONEDA]]="Soles",(+VLOOKUP(G51,Tabla1[#All],3,FALSE)),(+VLOOKUP(G51,Tabla6[#All],3,FALSE)))))</f>
      </c>
      <c r="O51" s="120">
        <f>IF(Tabla3[[#This Row], [NRO. DOI]]="","",(IF(Tabla3[[#This Row], [MONEDA]]="Soles",(+VLOOKUP(G51,Tabla1[#All],4,FALSE)),(+VLOOKUP(G51,Tabla6[#All],4,FALSE)))))</f>
      </c>
      <c r="P51" s="147" t="s">
        <v>128</v>
      </c>
      <c r="Q51" s="150">
        <v>3.5</v>
      </c>
      <c r="R51" s="119">
        <v>7000</v>
      </c>
      <c r="S51" s="119">
        <f>+IF(Tabla3[[#This Row], [MONEDA]]="DOLARES",Tabla3[[#This Row], [MONTO BRUTO]]*Tabla3[[#This Row], [TIPO DE CAMBIO]],0)</f>
      </c>
      <c r="T51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1" s="119">
        <f>IF(Tabla3[[#This Row], [TIPO DE BIEN O SERVICIO]]="",0,+Tabla3[[#This Row], [MONTO BRUTO]]-Tabla3[[#This Row], [DETRACCION]])</f>
      </c>
      <c r="V51" s="149" t="s">
        <v>312</v>
      </c>
      <c r="W51" s="142">
        <v>46204</v>
      </c>
      <c r="X51" s="151">
        <f>IF(Tabla3[[#This Row], [TIPO DE BIEN O SERVICIO]]="",0,+Tabla3[[#This Row], [MONTO BRUTO]]-Tabla3[[#This Row], [DETRACCION]])</f>
      </c>
      <c r="Y51" s="151">
        <f>+Tabla3[[#This Row], [MONTO NETO A PAGAR]]-Tabla3[[#This Row], [MONTO PAGADO]]</f>
      </c>
      <c r="Z51" s="147">
        <f>IF(Tabla3[[#This Row], [MONTO PAGADO]]=0,"",(+IF(Tabla3[[#This Row], [SALDO POR PAGAR]]=0,"TOTAL","PARCIAL")))</f>
      </c>
    </row>
    <row x14ac:dyDescent="0.25" r="52" customHeight="1" ht="18.75">
      <c r="A52" s="116">
        <v>45</v>
      </c>
      <c r="B52" s="142">
        <v>46199</v>
      </c>
      <c r="C52" s="143">
        <v>46199</v>
      </c>
      <c r="D52" s="120" t="s">
        <v>1099</v>
      </c>
      <c r="E52" s="144" t="s">
        <v>1047</v>
      </c>
      <c r="F52" s="145" t="s">
        <v>1114</v>
      </c>
      <c r="G52" s="146" t="s">
        <v>231</v>
      </c>
      <c r="H52" s="147">
        <f>IFERROR(+VLOOKUP(G52,Tabla1[#All],2,FALSE),"-")</f>
      </c>
      <c r="I52" s="147" t="s">
        <v>218</v>
      </c>
      <c r="J52" s="120" t="s">
        <v>1210</v>
      </c>
      <c r="K52" s="11"/>
      <c r="L52" s="148" t="s">
        <v>1211</v>
      </c>
      <c r="M52" s="120" t="s">
        <v>1113</v>
      </c>
      <c r="N52" s="149">
        <f>IF(Tabla3[[#This Row], [NRO. DOI]]="","",(IF(Tabla3[[#This Row], [MONEDA]]="Soles",(+VLOOKUP(G52,Tabla1[#All],3,FALSE)),(+VLOOKUP(G52,Tabla6[#All],3,FALSE)))))</f>
      </c>
      <c r="O52" s="120">
        <f>IF(Tabla3[[#This Row], [NRO. DOI]]="","",(IF(Tabla3[[#This Row], [MONEDA]]="Soles",(+VLOOKUP(G52,Tabla1[#All],4,FALSE)),(+VLOOKUP(G52,Tabla6[#All],4,FALSE)))))</f>
      </c>
      <c r="P52" s="147" t="s">
        <v>128</v>
      </c>
      <c r="Q52" s="150">
        <v>3.5</v>
      </c>
      <c r="R52" s="119">
        <v>1100</v>
      </c>
      <c r="S52" s="119">
        <f>+IF(Tabla3[[#This Row], [MONEDA]]="DOLARES",Tabla3[[#This Row], [MONTO BRUTO]]*Tabla3[[#This Row], [TIPO DE CAMBIO]],0)</f>
      </c>
      <c r="T52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2" s="119">
        <f>IF(Tabla3[[#This Row], [TIPO DE BIEN O SERVICIO]]="",0,+Tabla3[[#This Row], [MONTO BRUTO]]-Tabla3[[#This Row], [DETRACCION]])</f>
      </c>
      <c r="V52" s="149" t="s">
        <v>312</v>
      </c>
      <c r="W52" s="142">
        <v>46204</v>
      </c>
      <c r="X52" s="151">
        <f>IF(Tabla3[[#This Row], [TIPO DE BIEN O SERVICIO]]="",0,+Tabla3[[#This Row], [MONTO BRUTO]]-Tabla3[[#This Row], [DETRACCION]])</f>
      </c>
      <c r="Y52" s="151">
        <f>+Tabla3[[#This Row], [MONTO NETO A PAGAR]]-Tabla3[[#This Row], [MONTO PAGADO]]</f>
      </c>
      <c r="Z52" s="147">
        <f>IF(Tabla3[[#This Row], [MONTO PAGADO]]=0,"",(+IF(Tabla3[[#This Row], [SALDO POR PAGAR]]=0,"TOTAL","PARCIAL")))</f>
      </c>
    </row>
    <row x14ac:dyDescent="0.25" r="53" customHeight="1" ht="18.75">
      <c r="A53" s="116">
        <v>46</v>
      </c>
      <c r="B53" s="142">
        <v>46199</v>
      </c>
      <c r="C53" s="143">
        <v>46188</v>
      </c>
      <c r="D53" s="120" t="s">
        <v>1099</v>
      </c>
      <c r="E53" s="144" t="s">
        <v>1047</v>
      </c>
      <c r="F53" s="145" t="s">
        <v>149</v>
      </c>
      <c r="G53" s="146" t="s">
        <v>584</v>
      </c>
      <c r="H53" s="147">
        <f>IFERROR(+VLOOKUP(G53,Tabla1[#All],2,FALSE),"-")</f>
      </c>
      <c r="I53" s="147" t="s">
        <v>230</v>
      </c>
      <c r="J53" s="120" t="s">
        <v>1212</v>
      </c>
      <c r="K53" s="144" t="s">
        <v>1213</v>
      </c>
      <c r="L53" s="148" t="s">
        <v>1214</v>
      </c>
      <c r="M53" s="120" t="s">
        <v>1105</v>
      </c>
      <c r="N53" s="149">
        <f>IF(Tabla3[[#This Row], [NRO. DOI]]="","",(IF(Tabla3[[#This Row], [MONEDA]]="Soles",(+VLOOKUP(G53,Tabla1[#All],3,FALSE)),(+VLOOKUP(G53,Tabla6[#All],3,FALSE)))))</f>
      </c>
      <c r="O53" s="120">
        <f>IF(Tabla3[[#This Row], [NRO. DOI]]="","",(IF(Tabla3[[#This Row], [MONEDA]]="Soles",(+VLOOKUP(G53,Tabla1[#All],4,FALSE)),(+VLOOKUP(G53,Tabla6[#All],4,FALSE)))))</f>
      </c>
      <c r="P53" s="147" t="s">
        <v>127</v>
      </c>
      <c r="Q53" s="150"/>
      <c r="R53" s="119">
        <v>20425.92</v>
      </c>
      <c r="S53" s="119">
        <f>+IF(Tabla3[[#This Row], [MONEDA]]="DOLARES",Tabla3[[#This Row], [MONTO BRUTO]]*Tabla3[[#This Row], [TIPO DE CAMBIO]],0)</f>
      </c>
      <c r="T53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3" s="119">
        <f>IF(Tabla3[[#This Row], [TIPO DE BIEN O SERVICIO]]="",0,+Tabla3[[#This Row], [MONTO BRUTO]]-Tabla3[[#This Row], [DETRACCION]])</f>
      </c>
      <c r="V53" s="149" t="s">
        <v>312</v>
      </c>
      <c r="W53" s="142">
        <v>46204</v>
      </c>
      <c r="X53" s="151">
        <f>IF(Tabla3[[#This Row], [TIPO DE BIEN O SERVICIO]]="",0,+Tabla3[[#This Row], [MONTO BRUTO]]-Tabla3[[#This Row], [DETRACCION]])</f>
      </c>
      <c r="Y53" s="151">
        <f>+Tabla3[[#This Row], [MONTO NETO A PAGAR]]-Tabla3[[#This Row], [MONTO PAGADO]]</f>
      </c>
      <c r="Z53" s="147">
        <f>IF(Tabla3[[#This Row], [MONTO PAGADO]]=0,"",(+IF(Tabla3[[#This Row], [SALDO POR PAGAR]]=0,"TOTAL","PARCIAL")))</f>
      </c>
    </row>
    <row x14ac:dyDescent="0.25" r="54" customHeight="1" ht="18.75">
      <c r="A54" s="116">
        <v>47</v>
      </c>
      <c r="B54" s="142">
        <v>46199</v>
      </c>
      <c r="C54" s="143">
        <v>46199</v>
      </c>
      <c r="D54" s="120" t="s">
        <v>1099</v>
      </c>
      <c r="E54" s="144" t="s">
        <v>1047</v>
      </c>
      <c r="F54" s="145" t="s">
        <v>1114</v>
      </c>
      <c r="G54" s="146" t="s">
        <v>248</v>
      </c>
      <c r="H54" s="147">
        <f>IFERROR(+VLOOKUP(G54,Tabla1[#All],2,FALSE),"-")</f>
      </c>
      <c r="I54" s="147" t="s">
        <v>252</v>
      </c>
      <c r="J54" s="120" t="s">
        <v>1215</v>
      </c>
      <c r="K54" s="144" t="s">
        <v>1216</v>
      </c>
      <c r="L54" s="148" t="s">
        <v>1217</v>
      </c>
      <c r="M54" s="120" t="s">
        <v>1105</v>
      </c>
      <c r="N54" s="149">
        <f>IF(Tabla3[[#This Row], [NRO. DOI]]="","",(IF(Tabla3[[#This Row], [MONEDA]]="Soles",(+VLOOKUP(G54,Tabla1[#All],3,FALSE)),(+VLOOKUP(G54,Tabla6[#All],3,FALSE)))))</f>
      </c>
      <c r="O54" s="120">
        <f>IF(Tabla3[[#This Row], [NRO. DOI]]="","",(IF(Tabla3[[#This Row], [MONEDA]]="Soles",(+VLOOKUP(G54,Tabla1[#All],4,FALSE)),(+VLOOKUP(G54,Tabla6[#All],4,FALSE)))))</f>
      </c>
      <c r="P54" s="147" t="s">
        <v>127</v>
      </c>
      <c r="Q54" s="150"/>
      <c r="R54" s="119">
        <v>144.3</v>
      </c>
      <c r="S54" s="119">
        <f>+IF(Tabla3[[#This Row], [MONEDA]]="DOLARES",Tabla3[[#This Row], [MONTO BRUTO]]*Tabla3[[#This Row], [TIPO DE CAMBIO]],0)</f>
      </c>
      <c r="T54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4" s="119">
        <f>IF(Tabla3[[#This Row], [TIPO DE BIEN O SERVICIO]]="",0,+Tabla3[[#This Row], [MONTO BRUTO]]-Tabla3[[#This Row], [DETRACCION]])</f>
      </c>
      <c r="V54" s="149" t="s">
        <v>312</v>
      </c>
      <c r="W54" s="142">
        <v>46204</v>
      </c>
      <c r="X54" s="151">
        <f>IF(Tabla3[[#This Row], [TIPO DE BIEN O SERVICIO]]="",0,+Tabla3[[#This Row], [MONTO BRUTO]]-Tabla3[[#This Row], [DETRACCION]])</f>
      </c>
      <c r="Y54" s="151">
        <f>+Tabla3[[#This Row], [MONTO NETO A PAGAR]]-Tabla3[[#This Row], [MONTO PAGADO]]</f>
      </c>
      <c r="Z54" s="147">
        <f>IF(Tabla3[[#This Row], [MONTO PAGADO]]=0,"",(+IF(Tabla3[[#This Row], [SALDO POR PAGAR]]=0,"TOTAL","PARCIAL")))</f>
      </c>
    </row>
    <row x14ac:dyDescent="0.25" r="55" customHeight="1" ht="18.75">
      <c r="A55" s="116">
        <v>48</v>
      </c>
      <c r="B55" s="142">
        <v>46199</v>
      </c>
      <c r="C55" s="143">
        <v>46199</v>
      </c>
      <c r="D55" s="120" t="s">
        <v>1099</v>
      </c>
      <c r="E55" s="144" t="s">
        <v>1047</v>
      </c>
      <c r="F55" s="145" t="s">
        <v>149</v>
      </c>
      <c r="G55" s="146" t="s">
        <v>832</v>
      </c>
      <c r="H55" s="147">
        <f>IFERROR(+VLOOKUP(G55,Tabla1[#All],2,FALSE),"-")</f>
      </c>
      <c r="I55" s="147" t="s">
        <v>230</v>
      </c>
      <c r="J55" s="148" t="s">
        <v>1218</v>
      </c>
      <c r="K55" s="144" t="s">
        <v>1219</v>
      </c>
      <c r="L55" s="148" t="s">
        <v>1220</v>
      </c>
      <c r="M55" s="120" t="s">
        <v>1110</v>
      </c>
      <c r="N55" s="149">
        <f>IF(Tabla3[[#This Row], [NRO. DOI]]="","",(IF(Tabla3[[#This Row], [MONEDA]]="Soles",(+VLOOKUP(G55,Tabla1[#All],3,FALSE)),(+VLOOKUP(G55,Tabla6[#All],3,FALSE)))))</f>
      </c>
      <c r="O55" s="120">
        <f>IF(Tabla3[[#This Row], [NRO. DOI]]="","",(IF(Tabla3[[#This Row], [MONEDA]]="Soles",(+VLOOKUP(G55,Tabla1[#All],4,FALSE)),(+VLOOKUP(G55,Tabla6[#All],4,FALSE)))))</f>
      </c>
      <c r="P55" s="147" t="s">
        <v>127</v>
      </c>
      <c r="Q55" s="150"/>
      <c r="R55" s="119">
        <v>1010.03</v>
      </c>
      <c r="S55" s="119">
        <f>+IF(Tabla3[[#This Row], [MONEDA]]="DOLARES",Tabla3[[#This Row], [MONTO BRUTO]]*Tabla3[[#This Row], [TIPO DE CAMBIO]],0)</f>
      </c>
      <c r="T55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5" s="119">
        <f>IF(Tabla3[[#This Row], [TIPO DE BIEN O SERVICIO]]="",0,+Tabla3[[#This Row], [MONTO BRUTO]]-Tabla3[[#This Row], [DETRACCION]])</f>
      </c>
      <c r="V55" s="149" t="s">
        <v>312</v>
      </c>
      <c r="W55" s="142">
        <v>46204</v>
      </c>
      <c r="X55" s="151">
        <f>IF(Tabla3[[#This Row], [TIPO DE BIEN O SERVICIO]]="",0,+Tabla3[[#This Row], [MONTO BRUTO]]-Tabla3[[#This Row], [DETRACCION]])</f>
      </c>
      <c r="Y55" s="151">
        <f>+Tabla3[[#This Row], [MONTO NETO A PAGAR]]-Tabla3[[#This Row], [MONTO PAGADO]]</f>
      </c>
      <c r="Z55" s="147">
        <f>IF(Tabla3[[#This Row], [MONTO PAGADO]]=0,"",(+IF(Tabla3[[#This Row], [SALDO POR PAGAR]]=0,"TOTAL","PARCIAL")))</f>
      </c>
    </row>
    <row x14ac:dyDescent="0.25" r="56" customHeight="1" ht="18.75">
      <c r="A56" s="116">
        <v>49</v>
      </c>
      <c r="B56" s="142">
        <v>46199</v>
      </c>
      <c r="C56" s="143">
        <v>46199</v>
      </c>
      <c r="D56" s="120" t="s">
        <v>1099</v>
      </c>
      <c r="E56" s="144" t="s">
        <v>1047</v>
      </c>
      <c r="F56" s="145" t="s">
        <v>1114</v>
      </c>
      <c r="G56" s="146" t="s">
        <v>976</v>
      </c>
      <c r="H56" s="147">
        <f>IFERROR(+VLOOKUP(G56,Tabla1[#All],2,FALSE),"-")</f>
      </c>
      <c r="I56" s="147" t="s">
        <v>236</v>
      </c>
      <c r="J56" s="120" t="s">
        <v>247</v>
      </c>
      <c r="K56" s="144" t="s">
        <v>1221</v>
      </c>
      <c r="L56" s="148" t="s">
        <v>1222</v>
      </c>
      <c r="M56" s="120" t="s">
        <v>1181</v>
      </c>
      <c r="N56" s="149">
        <f>IF(Tabla3[[#This Row], [NRO. DOI]]="","",(IF(Tabla3[[#This Row], [MONEDA]]="Soles",(+VLOOKUP(G56,Tabla1[#All],3,FALSE)),(+VLOOKUP(G56,Tabla6[#All],3,FALSE)))))</f>
      </c>
      <c r="O56" s="120">
        <f>IF(Tabla3[[#This Row], [NRO. DOI]]="","",(IF(Tabla3[[#This Row], [MONEDA]]="Soles",(+VLOOKUP(G56,Tabla1[#All],4,FALSE)),(+VLOOKUP(G56,Tabla6[#All],4,FALSE)))))</f>
      </c>
      <c r="P56" s="147" t="s">
        <v>127</v>
      </c>
      <c r="Q56" s="150"/>
      <c r="R56" s="119">
        <v>17.3</v>
      </c>
      <c r="S56" s="119">
        <f>+IF(Tabla3[[#This Row], [MONEDA]]="DOLARES",Tabla3[[#This Row], [MONTO BRUTO]]*Tabla3[[#This Row], [TIPO DE CAMBIO]],0)</f>
      </c>
      <c r="T56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6" s="119">
        <f>IF(Tabla3[[#This Row], [TIPO DE BIEN O SERVICIO]]="",0,+Tabla3[[#This Row], [MONTO BRUTO]]-Tabla3[[#This Row], [DETRACCION]])</f>
      </c>
      <c r="V56" s="149" t="s">
        <v>312</v>
      </c>
      <c r="W56" s="142">
        <v>46204</v>
      </c>
      <c r="X56" s="151">
        <f>IF(Tabla3[[#This Row], [TIPO DE BIEN O SERVICIO]]="",0,+Tabla3[[#This Row], [MONTO BRUTO]]-Tabla3[[#This Row], [DETRACCION]])</f>
      </c>
      <c r="Y56" s="151">
        <f>+Tabla3[[#This Row], [MONTO NETO A PAGAR]]-Tabla3[[#This Row], [MONTO PAGADO]]</f>
      </c>
      <c r="Z56" s="147">
        <f>IF(Tabla3[[#This Row], [MONTO PAGADO]]=0,"",(+IF(Tabla3[[#This Row], [SALDO POR PAGAR]]=0,"TOTAL","PARCIAL")))</f>
      </c>
    </row>
    <row x14ac:dyDescent="0.25" r="57" customHeight="1" ht="18.75">
      <c r="A57" s="116">
        <v>50</v>
      </c>
      <c r="B57" s="142">
        <v>46199</v>
      </c>
      <c r="C57" s="143">
        <v>46199</v>
      </c>
      <c r="D57" s="120" t="s">
        <v>1099</v>
      </c>
      <c r="E57" s="144" t="s">
        <v>1047</v>
      </c>
      <c r="F57" s="145" t="s">
        <v>1114</v>
      </c>
      <c r="G57" s="146" t="s">
        <v>317</v>
      </c>
      <c r="H57" s="147">
        <f>IFERROR(+VLOOKUP(G57,Tabla1[#All],2,FALSE),"-")</f>
      </c>
      <c r="I57" s="147" t="s">
        <v>247</v>
      </c>
      <c r="J57" s="120" t="s">
        <v>1223</v>
      </c>
      <c r="K57" s="144" t="s">
        <v>1224</v>
      </c>
      <c r="L57" s="148" t="s">
        <v>1225</v>
      </c>
      <c r="M57" s="120" t="s">
        <v>1127</v>
      </c>
      <c r="N57" s="149">
        <f>IF(Tabla3[[#This Row], [NRO. DOI]]="","",(IF(Tabla3[[#This Row], [MONEDA]]="Soles",(+VLOOKUP(G57,Tabla1[#All],3,FALSE)),(+VLOOKUP(G57,Tabla6[#All],3,FALSE)))))</f>
      </c>
      <c r="O57" s="120">
        <f>IF(Tabla3[[#This Row], [NRO. DOI]]="","",(IF(Tabla3[[#This Row], [MONEDA]]="Soles",(+VLOOKUP(G57,Tabla1[#All],4,FALSE)),(+VLOOKUP(G57,Tabla6[#All],4,FALSE)))))</f>
      </c>
      <c r="P57" s="147" t="s">
        <v>127</v>
      </c>
      <c r="Q57" s="150"/>
      <c r="R57" s="119">
        <v>165.4</v>
      </c>
      <c r="S57" s="119">
        <f>+IF(Tabla3[[#This Row], [MONEDA]]="DOLARES",Tabla3[[#This Row], [MONTO BRUTO]]*Tabla3[[#This Row], [TIPO DE CAMBIO]],0)</f>
      </c>
      <c r="T57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7" s="119">
        <f>IF(Tabla3[[#This Row], [TIPO DE BIEN O SERVICIO]]="",0,+Tabla3[[#This Row], [MONTO BRUTO]]-Tabla3[[#This Row], [DETRACCION]])</f>
      </c>
      <c r="V57" s="149" t="s">
        <v>312</v>
      </c>
      <c r="W57" s="142">
        <v>46204</v>
      </c>
      <c r="X57" s="151">
        <f>IF(Tabla3[[#This Row], [TIPO DE BIEN O SERVICIO]]="",0,+Tabla3[[#This Row], [MONTO BRUTO]]-Tabla3[[#This Row], [DETRACCION]])</f>
      </c>
      <c r="Y57" s="151">
        <f>+Tabla3[[#This Row], [MONTO NETO A PAGAR]]-Tabla3[[#This Row], [MONTO PAGADO]]</f>
      </c>
      <c r="Z57" s="147">
        <f>IF(Tabla3[[#This Row], [MONTO PAGADO]]=0,"",(+IF(Tabla3[[#This Row], [SALDO POR PAGAR]]=0,"TOTAL","PARCIAL")))</f>
      </c>
    </row>
    <row x14ac:dyDescent="0.25" r="58" customHeight="1" ht="18.75">
      <c r="A58" s="116">
        <v>51</v>
      </c>
      <c r="B58" s="142">
        <v>46199</v>
      </c>
      <c r="C58" s="143">
        <v>46199</v>
      </c>
      <c r="D58" s="120" t="s">
        <v>1099</v>
      </c>
      <c r="E58" s="144" t="s">
        <v>1047</v>
      </c>
      <c r="F58" s="145" t="s">
        <v>1114</v>
      </c>
      <c r="G58" s="146" t="s">
        <v>317</v>
      </c>
      <c r="H58" s="147">
        <f>IFERROR(+VLOOKUP(G58,Tabla1[#All],2,FALSE),"-")</f>
      </c>
      <c r="I58" s="147" t="s">
        <v>247</v>
      </c>
      <c r="J58" s="120" t="s">
        <v>247</v>
      </c>
      <c r="K58" s="144" t="s">
        <v>1226</v>
      </c>
      <c r="L58" s="148" t="s">
        <v>1227</v>
      </c>
      <c r="M58" s="120" t="s">
        <v>1113</v>
      </c>
      <c r="N58" s="149">
        <f>IF(Tabla3[[#This Row], [NRO. DOI]]="","",(IF(Tabla3[[#This Row], [MONEDA]]="Soles",(+VLOOKUP(G58,Tabla1[#All],3,FALSE)),(+VLOOKUP(G58,Tabla6[#All],3,FALSE)))))</f>
      </c>
      <c r="O58" s="120">
        <f>IF(Tabla3[[#This Row], [NRO. DOI]]="","",(IF(Tabla3[[#This Row], [MONEDA]]="Soles",(+VLOOKUP(G58,Tabla1[#All],4,FALSE)),(+VLOOKUP(G58,Tabla6[#All],4,FALSE)))))</f>
      </c>
      <c r="P58" s="147" t="s">
        <v>127</v>
      </c>
      <c r="Q58" s="150"/>
      <c r="R58" s="119">
        <v>165.1</v>
      </c>
      <c r="S58" s="119">
        <f>+IF(Tabla3[[#This Row], [MONEDA]]="DOLARES",Tabla3[[#This Row], [MONTO BRUTO]]*Tabla3[[#This Row], [TIPO DE CAMBIO]],0)</f>
      </c>
      <c r="T58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8" s="119">
        <f>IF(Tabla3[[#This Row], [TIPO DE BIEN O SERVICIO]]="",0,+Tabla3[[#This Row], [MONTO BRUTO]]-Tabla3[[#This Row], [DETRACCION]])</f>
      </c>
      <c r="V58" s="149" t="s">
        <v>312</v>
      </c>
      <c r="W58" s="142">
        <v>46204</v>
      </c>
      <c r="X58" s="151">
        <f>IF(Tabla3[[#This Row], [TIPO DE BIEN O SERVICIO]]="",0,+Tabla3[[#This Row], [MONTO BRUTO]]-Tabla3[[#This Row], [DETRACCION]])</f>
      </c>
      <c r="Y58" s="151">
        <f>+Tabla3[[#This Row], [MONTO NETO A PAGAR]]-Tabla3[[#This Row], [MONTO PAGADO]]</f>
      </c>
      <c r="Z58" s="147">
        <f>IF(Tabla3[[#This Row], [MONTO PAGADO]]=0,"",(+IF(Tabla3[[#This Row], [SALDO POR PAGAR]]=0,"TOTAL","PARCIAL")))</f>
      </c>
    </row>
    <row x14ac:dyDescent="0.25" r="59" customHeight="1" ht="18.75">
      <c r="A59" s="116">
        <v>52</v>
      </c>
      <c r="B59" s="142">
        <v>46199</v>
      </c>
      <c r="C59" s="143">
        <v>46199</v>
      </c>
      <c r="D59" s="120" t="s">
        <v>1099</v>
      </c>
      <c r="E59" s="144" t="s">
        <v>1047</v>
      </c>
      <c r="F59" s="145" t="s">
        <v>149</v>
      </c>
      <c r="G59" s="146" t="s">
        <v>632</v>
      </c>
      <c r="H59" s="147">
        <f>IFERROR(+VLOOKUP(G59,Tabla1[#All],2,FALSE),"-")</f>
      </c>
      <c r="I59" s="147" t="s">
        <v>224</v>
      </c>
      <c r="J59" s="148" t="s">
        <v>1228</v>
      </c>
      <c r="K59" s="144" t="s">
        <v>1229</v>
      </c>
      <c r="L59" s="148" t="s">
        <v>1230</v>
      </c>
      <c r="M59" s="120" t="s">
        <v>1151</v>
      </c>
      <c r="N59" s="149">
        <f>IF(Tabla3[[#This Row], [NRO. DOI]]="","",(IF(Tabla3[[#This Row], [MONEDA]]="Soles",(+VLOOKUP(G59,Tabla1[#All],3,FALSE)),(+VLOOKUP(G59,Tabla6[#All],3,FALSE)))))</f>
      </c>
      <c r="O59" s="120">
        <f>IF(Tabla3[[#This Row], [NRO. DOI]]="","",(IF(Tabla3[[#This Row], [MONEDA]]="Soles",(+VLOOKUP(G59,Tabla1[#All],4,FALSE)),(+VLOOKUP(G59,Tabla6[#All],4,FALSE)))))</f>
      </c>
      <c r="P59" s="147" t="s">
        <v>127</v>
      </c>
      <c r="Q59" s="150"/>
      <c r="R59" s="119">
        <f>+((2295*18%)+2295)/2</f>
      </c>
      <c r="S59" s="119">
        <f>+IF(Tabla3[[#This Row], [MONEDA]]="DOLARES",Tabla3[[#This Row], [MONTO BRUTO]]*Tabla3[[#This Row], [TIPO DE CAMBIO]],0)</f>
      </c>
      <c r="T59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59" s="119">
        <f>IF(Tabla3[[#This Row], [TIPO DE BIEN O SERVICIO]]="",0,+Tabla3[[#This Row], [MONTO BRUTO]]-Tabla3[[#This Row], [DETRACCION]])</f>
      </c>
      <c r="V59" s="149" t="s">
        <v>312</v>
      </c>
      <c r="W59" s="142">
        <v>46204</v>
      </c>
      <c r="X59" s="151">
        <f>IF(Tabla3[[#This Row], [TIPO DE BIEN O SERVICIO]]="",0,+Tabla3[[#This Row], [MONTO BRUTO]]-Tabla3[[#This Row], [DETRACCION]])</f>
      </c>
      <c r="Y59" s="151">
        <f>+Tabla3[[#This Row], [MONTO NETO A PAGAR]]-Tabla3[[#This Row], [MONTO PAGADO]]</f>
      </c>
      <c r="Z59" s="147">
        <f>IF(Tabla3[[#This Row], [MONTO PAGADO]]=0,"",(+IF(Tabla3[[#This Row], [SALDO POR PAGAR]]=0,"TOTAL","PARCIAL")))</f>
      </c>
    </row>
    <row x14ac:dyDescent="0.25" r="60" customHeight="1" ht="18.75">
      <c r="A60" s="116">
        <v>53</v>
      </c>
      <c r="B60" s="142">
        <v>46199</v>
      </c>
      <c r="C60" s="143">
        <v>46199</v>
      </c>
      <c r="D60" s="120" t="s">
        <v>1099</v>
      </c>
      <c r="E60" s="144" t="s">
        <v>1047</v>
      </c>
      <c r="F60" s="145" t="s">
        <v>149</v>
      </c>
      <c r="G60" s="146" t="s">
        <v>632</v>
      </c>
      <c r="H60" s="147">
        <f>IFERROR(+VLOOKUP(G60,Tabla1[#All],2,FALSE),"-")</f>
      </c>
      <c r="I60" s="147" t="s">
        <v>224</v>
      </c>
      <c r="J60" s="148" t="s">
        <v>1231</v>
      </c>
      <c r="K60" s="144" t="s">
        <v>1232</v>
      </c>
      <c r="L60" s="148" t="s">
        <v>1233</v>
      </c>
      <c r="M60" s="120" t="s">
        <v>1151</v>
      </c>
      <c r="N60" s="149">
        <f>IF(Tabla3[[#This Row], [NRO. DOI]]="","",(IF(Tabla3[[#This Row], [MONEDA]]="Soles",(+VLOOKUP(G60,Tabla1[#All],3,FALSE)),(+VLOOKUP(G60,Tabla6[#All],3,FALSE)))))</f>
      </c>
      <c r="O60" s="120">
        <f>IF(Tabla3[[#This Row], [NRO. DOI]]="","",(IF(Tabla3[[#This Row], [MONEDA]]="Soles",(+VLOOKUP(G60,Tabla1[#All],4,FALSE)),(+VLOOKUP(G60,Tabla6[#All],4,FALSE)))))</f>
      </c>
      <c r="P60" s="147" t="s">
        <v>127</v>
      </c>
      <c r="Q60" s="150"/>
      <c r="R60" s="119">
        <f>+((3270*18%)+3270)/2</f>
      </c>
      <c r="S60" s="119">
        <f>+IF(Tabla3[[#This Row], [MONEDA]]="DOLARES",Tabla3[[#This Row], [MONTO BRUTO]]*Tabla3[[#This Row], [TIPO DE CAMBIO]],0)</f>
      </c>
      <c r="T60" s="119"/>
      <c r="U60" s="119">
        <f>IF(Tabla3[[#This Row], [TIPO DE BIEN O SERVICIO]]="",0,+Tabla3[[#This Row], [MONTO BRUTO]]-Tabla3[[#This Row], [DETRACCION]])</f>
      </c>
      <c r="V60" s="149" t="s">
        <v>312</v>
      </c>
      <c r="W60" s="142">
        <v>46204</v>
      </c>
      <c r="X60" s="151">
        <f>IF(Tabla3[[#This Row], [TIPO DE BIEN O SERVICIO]]="",0,+Tabla3[[#This Row], [MONTO BRUTO]]-Tabla3[[#This Row], [DETRACCION]])</f>
      </c>
      <c r="Y60" s="151">
        <f>+Tabla3[[#This Row], [MONTO NETO A PAGAR]]-Tabla3[[#This Row], [MONTO PAGADO]]</f>
      </c>
      <c r="Z60" s="147">
        <f>IF(Tabla3[[#This Row], [MONTO PAGADO]]=0,"",(+IF(Tabla3[[#This Row], [SALDO POR PAGAR]]=0,"TOTAL","PARCIAL")))</f>
      </c>
    </row>
    <row x14ac:dyDescent="0.25" r="61" customHeight="1" ht="18.75">
      <c r="A61" s="116">
        <v>54</v>
      </c>
      <c r="B61" s="142">
        <v>46199</v>
      </c>
      <c r="C61" s="143">
        <v>46199</v>
      </c>
      <c r="D61" s="120" t="s">
        <v>1099</v>
      </c>
      <c r="E61" s="144" t="s">
        <v>1047</v>
      </c>
      <c r="F61" s="145" t="s">
        <v>149</v>
      </c>
      <c r="G61" s="146" t="s">
        <v>632</v>
      </c>
      <c r="H61" s="147">
        <f>IFERROR(+VLOOKUP(G61,Tabla1[#All],2,FALSE),"-")</f>
      </c>
      <c r="I61" s="147" t="s">
        <v>224</v>
      </c>
      <c r="J61" s="148" t="s">
        <v>1234</v>
      </c>
      <c r="K61" s="144" t="s">
        <v>1235</v>
      </c>
      <c r="L61" s="148" t="s">
        <v>1236</v>
      </c>
      <c r="M61" s="120" t="s">
        <v>1151</v>
      </c>
      <c r="N61" s="149">
        <f>IF(Tabla3[[#This Row], [NRO. DOI]]="","",(IF(Tabla3[[#This Row], [MONEDA]]="Soles",(+VLOOKUP(G61,Tabla1[#All],3,FALSE)),(+VLOOKUP(G61,Tabla6[#All],3,FALSE)))))</f>
      </c>
      <c r="O61" s="120">
        <f>IF(Tabla3[[#This Row], [NRO. DOI]]="","",(IF(Tabla3[[#This Row], [MONEDA]]="Soles",(+VLOOKUP(G61,Tabla1[#All],4,FALSE)),(+VLOOKUP(G61,Tabla6[#All],4,FALSE)))))</f>
      </c>
      <c r="P61" s="147" t="s">
        <v>127</v>
      </c>
      <c r="Q61" s="150"/>
      <c r="R61" s="119">
        <f>+((20725*18%)+20725)/2</f>
      </c>
      <c r="S61" s="119">
        <f>+IF(Tabla3[[#This Row], [MONEDA]]="DOLARES",Tabla3[[#This Row], [MONTO BRUTO]]*Tabla3[[#This Row], [TIPO DE CAMBIO]],0)</f>
      </c>
      <c r="T61" s="119"/>
      <c r="U61" s="119">
        <f>IF(Tabla3[[#This Row], [TIPO DE BIEN O SERVICIO]]="",0,+Tabla3[[#This Row], [MONTO BRUTO]]-Tabla3[[#This Row], [DETRACCION]])</f>
      </c>
      <c r="V61" s="149" t="s">
        <v>312</v>
      </c>
      <c r="W61" s="142">
        <v>46204</v>
      </c>
      <c r="X61" s="151">
        <f>IF(Tabla3[[#This Row], [TIPO DE BIEN O SERVICIO]]="",0,+Tabla3[[#This Row], [MONTO BRUTO]]-Tabla3[[#This Row], [DETRACCION]])</f>
      </c>
      <c r="Y61" s="151">
        <f>+Tabla3[[#This Row], [MONTO NETO A PAGAR]]-Tabla3[[#This Row], [MONTO PAGADO]]</f>
      </c>
      <c r="Z61" s="147">
        <f>IF(Tabla3[[#This Row], [MONTO PAGADO]]=0,"",(+IF(Tabla3[[#This Row], [SALDO POR PAGAR]]=0,"TOTAL","PARCIAL")))</f>
      </c>
    </row>
    <row x14ac:dyDescent="0.25" r="62" customHeight="1" ht="18.75">
      <c r="A62" s="116">
        <v>55</v>
      </c>
      <c r="B62" s="142">
        <v>46203</v>
      </c>
      <c r="C62" s="143">
        <v>46203</v>
      </c>
      <c r="D62" s="120" t="s">
        <v>1099</v>
      </c>
      <c r="E62" s="144" t="s">
        <v>1047</v>
      </c>
      <c r="F62" s="145" t="s">
        <v>149</v>
      </c>
      <c r="G62" s="146" t="s">
        <v>151</v>
      </c>
      <c r="H62" s="147">
        <f>IFERROR(+VLOOKUP(G62,Tabla1[#All],2,FALSE),"-")</f>
      </c>
      <c r="I62" s="147" t="s">
        <v>230</v>
      </c>
      <c r="J62" s="120" t="s">
        <v>1237</v>
      </c>
      <c r="K62" s="144" t="s">
        <v>1238</v>
      </c>
      <c r="L62" s="148" t="s">
        <v>1239</v>
      </c>
      <c r="M62" s="120" t="s">
        <v>1187</v>
      </c>
      <c r="N62" s="149">
        <f>IF(Tabla3[[#This Row], [NRO. DOI]]="","",(IF(Tabla3[[#This Row], [MONEDA]]="Soles",(+VLOOKUP(G62,Tabla1[#All],3,FALSE)),(+VLOOKUP(G62,Tabla6[#All],3,FALSE)))))</f>
      </c>
      <c r="O62" s="120">
        <f>IF(Tabla3[[#This Row], [NRO. DOI]]="","",(IF(Tabla3[[#This Row], [MONEDA]]="Soles",(+VLOOKUP(G62,Tabla1[#All],4,FALSE)),(+VLOOKUP(G62,Tabla6[#All],4,FALSE)))))</f>
      </c>
      <c r="P62" s="147" t="s">
        <v>127</v>
      </c>
      <c r="Q62" s="150"/>
      <c r="R62" s="119">
        <v>955.8</v>
      </c>
      <c r="S62" s="119">
        <f>+IF(Tabla3[[#This Row], [MONEDA]]="DOLARES",Tabla3[[#This Row], [MONTO BRUTO]]*Tabla3[[#This Row], [TIPO DE CAMBIO]],0)</f>
      </c>
      <c r="T62" s="119">
        <v>115</v>
      </c>
      <c r="U62" s="119">
        <f>IF(Tabla3[[#This Row], [TIPO DE BIEN O SERVICIO]]="",0,+Tabla3[[#This Row], [MONTO BRUTO]]-Tabla3[[#This Row], [DETRACCION]])</f>
      </c>
      <c r="V62" s="149" t="s">
        <v>312</v>
      </c>
      <c r="W62" s="142">
        <v>46204</v>
      </c>
      <c r="X62" s="151">
        <f>IF(Tabla3[[#This Row], [TIPO DE BIEN O SERVICIO]]="",0,+Tabla3[[#This Row], [MONTO BRUTO]]-Tabla3[[#This Row], [DETRACCION]])</f>
      </c>
      <c r="Y62" s="151">
        <f>+Tabla3[[#This Row], [MONTO NETO A PAGAR]]-Tabla3[[#This Row], [MONTO PAGADO]]</f>
      </c>
      <c r="Z62" s="147">
        <f>IF(Tabla3[[#This Row], [MONTO PAGADO]]=0,"",(+IF(Tabla3[[#This Row], [SALDO POR PAGAR]]=0,"TOTAL","PARCIAL")))</f>
      </c>
    </row>
    <row x14ac:dyDescent="0.25" r="63" customHeight="1" ht="18.75">
      <c r="A63" s="116">
        <v>56</v>
      </c>
      <c r="B63" s="142">
        <v>46204</v>
      </c>
      <c r="C63" s="143">
        <v>46204</v>
      </c>
      <c r="D63" s="120" t="s">
        <v>1099</v>
      </c>
      <c r="E63" s="144" t="s">
        <v>1047</v>
      </c>
      <c r="F63" s="145" t="s">
        <v>149</v>
      </c>
      <c r="G63" s="146" t="s">
        <v>959</v>
      </c>
      <c r="H63" s="147">
        <f>IFERROR(+VLOOKUP(G63,Tabla1[#All],2,FALSE),"-")</f>
      </c>
      <c r="I63" s="147" t="s">
        <v>224</v>
      </c>
      <c r="J63" s="120" t="s">
        <v>1240</v>
      </c>
      <c r="K63" s="144" t="s">
        <v>1241</v>
      </c>
      <c r="L63" s="148" t="s">
        <v>1242</v>
      </c>
      <c r="M63" s="120" t="s">
        <v>1110</v>
      </c>
      <c r="N63" s="149">
        <f>IF(Tabla3[[#This Row], [NRO. DOI]]="","",(IF(Tabla3[[#This Row], [MONEDA]]="Soles",(+VLOOKUP(G63,Tabla1[#All],3,FALSE)),(+VLOOKUP(G63,Tabla6[#All],3,FALSE)))))</f>
      </c>
      <c r="O63" s="120">
        <f>IF(Tabla3[[#This Row], [NRO. DOI]]="","",(IF(Tabla3[[#This Row], [MONEDA]]="Soles",(+VLOOKUP(G63,Tabla1[#All],4,FALSE)),(+VLOOKUP(G63,Tabla6[#All],4,FALSE)))))</f>
      </c>
      <c r="P63" s="147" t="s">
        <v>127</v>
      </c>
      <c r="Q63" s="150"/>
      <c r="R63" s="119">
        <v>9100</v>
      </c>
      <c r="S63" s="119">
        <f>+IF(Tabla3[[#This Row], [MONEDA]]="DOLARES",Tabla3[[#This Row], [MONTO BRUTO]]*Tabla3[[#This Row], [TIPO DE CAMBIO]],0)</f>
      </c>
      <c r="T63" s="119">
        <v>0</v>
      </c>
      <c r="U63" s="119">
        <f>IF(Tabla3[[#This Row], [TIPO DE BIEN O SERVICIO]]="",0,+Tabla3[[#This Row], [MONTO BRUTO]]-Tabla3[[#This Row], [DETRACCION]])</f>
      </c>
      <c r="V63" s="149" t="s">
        <v>312</v>
      </c>
      <c r="W63" s="142">
        <v>46204</v>
      </c>
      <c r="X63" s="151">
        <f>IF(Tabla3[[#This Row], [TIPO DE BIEN O SERVICIO]]="",0,+Tabla3[[#This Row], [MONTO BRUTO]]-Tabla3[[#This Row], [DETRACCION]])</f>
      </c>
      <c r="Y63" s="151">
        <f>+Tabla3[[#This Row], [MONTO NETO A PAGAR]]-Tabla3[[#This Row], [MONTO PAGADO]]</f>
      </c>
      <c r="Z63" s="147">
        <f>IF(Tabla3[[#This Row], [MONTO PAGADO]]=0,"",(+IF(Tabla3[[#This Row], [SALDO POR PAGAR]]=0,"TOTAL","PARCIAL")))</f>
      </c>
    </row>
    <row x14ac:dyDescent="0.25" r="64" customHeight="1" ht="18.75">
      <c r="A64" s="116">
        <v>57</v>
      </c>
      <c r="B64" s="142">
        <v>46203</v>
      </c>
      <c r="C64" s="143">
        <v>46193</v>
      </c>
      <c r="D64" s="120" t="s">
        <v>1099</v>
      </c>
      <c r="E64" s="144" t="s">
        <v>1047</v>
      </c>
      <c r="F64" s="145" t="s">
        <v>1243</v>
      </c>
      <c r="G64" s="146" t="s">
        <v>979</v>
      </c>
      <c r="H64" s="147">
        <f>IFERROR(+VLOOKUP(G64,Tabla1[#All],2,FALSE),"-")</f>
      </c>
      <c r="I64" s="147" t="s">
        <v>236</v>
      </c>
      <c r="J64" s="120" t="s">
        <v>1244</v>
      </c>
      <c r="K64" s="144" t="s">
        <v>1245</v>
      </c>
      <c r="L64" s="148" t="s">
        <v>1246</v>
      </c>
      <c r="M64" s="120" t="s">
        <v>1113</v>
      </c>
      <c r="N64" s="149">
        <f>IF(Tabla3[[#This Row], [NRO. DOI]]="","",(IF(Tabla3[[#This Row], [MONEDA]]="Soles",(+VLOOKUP(G64,Tabla1[#All],3,FALSE)),(+VLOOKUP(G64,Tabla6[#All],3,FALSE)))))</f>
      </c>
      <c r="O64" s="120">
        <f>IF(Tabla3[[#This Row], [NRO. DOI]]="","",(IF(Tabla3[[#This Row], [MONEDA]]="Soles",(+VLOOKUP(G64,Tabla1[#All],4,FALSE)),(+VLOOKUP(G64,Tabla6[#All],4,FALSE)))))</f>
      </c>
      <c r="P64" s="147" t="s">
        <v>127</v>
      </c>
      <c r="Q64" s="150"/>
      <c r="R64" s="119">
        <v>150</v>
      </c>
      <c r="S64" s="119">
        <f>+IF(Tabla3[[#This Row], [MONEDA]]="DOLARES",Tabla3[[#This Row], [MONTO BRUTO]]*Tabla3[[#This Row], [TIPO DE CAMBIO]],0)</f>
      </c>
      <c r="T64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64" s="119">
        <f>IF(Tabla3[[#This Row], [TIPO DE BIEN O SERVICIO]]="",0,+Tabla3[[#This Row], [MONTO BRUTO]]-Tabla3[[#This Row], [DETRACCION]])</f>
      </c>
      <c r="V64" s="149" t="s">
        <v>312</v>
      </c>
      <c r="W64" s="142">
        <v>46204</v>
      </c>
      <c r="X64" s="151">
        <f>IF(Tabla3[[#This Row], [TIPO DE BIEN O SERVICIO]]="",0,+Tabla3[[#This Row], [MONTO BRUTO]]-Tabla3[[#This Row], [DETRACCION]])</f>
      </c>
      <c r="Y64" s="151">
        <f>+Tabla3[[#This Row], [MONTO NETO A PAGAR]]-Tabla3[[#This Row], [MONTO PAGADO]]</f>
      </c>
      <c r="Z64" s="147">
        <f>IF(Tabla3[[#This Row], [MONTO PAGADO]]=0,"",(+IF(Tabla3[[#This Row], [SALDO POR PAGAR]]=0,"TOTAL","PARCIAL")))</f>
      </c>
    </row>
    <row x14ac:dyDescent="0.25" r="65" customHeight="1" ht="18.75">
      <c r="A65" s="116">
        <v>58</v>
      </c>
      <c r="B65" s="142">
        <v>46205</v>
      </c>
      <c r="C65" s="143">
        <v>46205</v>
      </c>
      <c r="D65" s="120" t="s">
        <v>1099</v>
      </c>
      <c r="E65" s="144" t="s">
        <v>1047</v>
      </c>
      <c r="F65" s="145" t="s">
        <v>1114</v>
      </c>
      <c r="G65" s="146" t="s">
        <v>363</v>
      </c>
      <c r="H65" s="147">
        <f>IFERROR(+VLOOKUP(G65,Tabla1[#All],2,FALSE),"-")</f>
      </c>
      <c r="I65" s="147" t="s">
        <v>224</v>
      </c>
      <c r="J65" s="120" t="s">
        <v>1247</v>
      </c>
      <c r="K65" s="11"/>
      <c r="L65" s="148" t="s">
        <v>1248</v>
      </c>
      <c r="M65" s="120" t="s">
        <v>1113</v>
      </c>
      <c r="N65" s="149">
        <f>IF(Tabla3[[#This Row], [NRO. DOI]]="","",(IF(Tabla3[[#This Row], [MONEDA]]="Soles",(+VLOOKUP(G65,Tabla1[#All],3,FALSE)),(+VLOOKUP(G65,Tabla6[#All],3,FALSE)))))</f>
      </c>
      <c r="O65" s="120">
        <f>IF(Tabla3[[#This Row], [NRO. DOI]]="","",(IF(Tabla3[[#This Row], [MONEDA]]="Soles",(+VLOOKUP(G65,Tabla1[#All],4,FALSE)),(+VLOOKUP(G65,Tabla6[#All],4,FALSE)))))</f>
      </c>
      <c r="P65" s="147" t="s">
        <v>127</v>
      </c>
      <c r="Q65" s="150"/>
      <c r="R65" s="119">
        <v>30</v>
      </c>
      <c r="S65" s="119">
        <f>+IF(Tabla3[[#This Row], [MONEDA]]="DOLARES",Tabla3[[#This Row], [MONTO BRUTO]]*Tabla3[[#This Row], [TIPO DE CAMBIO]],0)</f>
      </c>
      <c r="T65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65" s="119">
        <f>IF(Tabla3[[#This Row], [TIPO DE BIEN O SERVICIO]]="",0,+Tabla3[[#This Row], [MONTO BRUTO]]-Tabla3[[#This Row], [DETRACCION]])</f>
      </c>
      <c r="V65" s="149" t="s">
        <v>312</v>
      </c>
      <c r="W65" s="143">
        <v>46205</v>
      </c>
      <c r="X65" s="151">
        <f>IF(Tabla3[[#This Row], [TIPO DE BIEN O SERVICIO]]="",0,+Tabla3[[#This Row], [MONTO BRUTO]]-Tabla3[[#This Row], [DETRACCION]])</f>
      </c>
      <c r="Y65" s="151">
        <f>+Tabla3[[#This Row], [MONTO NETO A PAGAR]]-Tabla3[[#This Row], [MONTO PAGADO]]</f>
      </c>
      <c r="Z65" s="147">
        <f>IF(Tabla3[[#This Row], [MONTO PAGADO]]=0,"",(+IF(Tabla3[[#This Row], [SALDO POR PAGAR]]=0,"TOTAL","PARCIAL")))</f>
      </c>
    </row>
    <row x14ac:dyDescent="0.25" r="66" customHeight="1" ht="18.75">
      <c r="A66" s="116">
        <v>59</v>
      </c>
      <c r="B66" s="142">
        <v>46205</v>
      </c>
      <c r="C66" s="143">
        <v>46205</v>
      </c>
      <c r="D66" s="120" t="s">
        <v>1099</v>
      </c>
      <c r="E66" s="144" t="s">
        <v>1047</v>
      </c>
      <c r="F66" s="145" t="s">
        <v>1114</v>
      </c>
      <c r="G66" s="146" t="s">
        <v>257</v>
      </c>
      <c r="H66" s="147">
        <f>IFERROR(+VLOOKUP(G66,Tabla1[#All],2,FALSE),"-")</f>
      </c>
      <c r="I66" s="147" t="s">
        <v>252</v>
      </c>
      <c r="J66" s="120" t="s">
        <v>1249</v>
      </c>
      <c r="K66" s="11"/>
      <c r="L66" s="148" t="s">
        <v>1250</v>
      </c>
      <c r="M66" s="120" t="s">
        <v>1181</v>
      </c>
      <c r="N66" s="149">
        <f>IF(Tabla3[[#This Row], [NRO. DOI]]="","",(IF(Tabla3[[#This Row], [MONEDA]]="Soles",(+VLOOKUP(G66,Tabla1[#All],3,FALSE)),(+VLOOKUP(G66,Tabla6[#All],3,FALSE)))))</f>
      </c>
      <c r="O66" s="120">
        <f>IF(Tabla3[[#This Row], [NRO. DOI]]="","",(IF(Tabla3[[#This Row], [MONEDA]]="Soles",(+VLOOKUP(G66,Tabla1[#All],4,FALSE)),(+VLOOKUP(G66,Tabla6[#All],4,FALSE)))))</f>
      </c>
      <c r="P66" s="147" t="s">
        <v>127</v>
      </c>
      <c r="Q66" s="150"/>
      <c r="R66" s="119">
        <v>2970.09</v>
      </c>
      <c r="S66" s="119">
        <f>+IF(Tabla3[[#This Row], [MONEDA]]="DOLARES",Tabla3[[#This Row], [MONTO BRUTO]]*Tabla3[[#This Row], [TIPO DE CAMBIO]],0)</f>
      </c>
      <c r="T66" s="119">
        <v>0</v>
      </c>
      <c r="U66" s="119">
        <f>IF(Tabla3[[#This Row], [TIPO DE BIEN O SERVICIO]]="",0,+Tabla3[[#This Row], [MONTO BRUTO]]-Tabla3[[#This Row], [DETRACCION]])</f>
      </c>
      <c r="V66" s="149" t="s">
        <v>312</v>
      </c>
      <c r="W66" s="143">
        <v>46209</v>
      </c>
      <c r="X66" s="151">
        <f>IF(Tabla3[[#This Row], [TIPO DE BIEN O SERVICIO]]="",0,+Tabla3[[#This Row], [MONTO BRUTO]]-Tabla3[[#This Row], [DETRACCION]])</f>
      </c>
      <c r="Y66" s="151">
        <f>+Tabla3[[#This Row], [MONTO NETO A PAGAR]]-Tabla3[[#This Row], [MONTO PAGADO]]</f>
      </c>
      <c r="Z66" s="147">
        <f>IF(Tabla3[[#This Row], [MONTO PAGADO]]=0,"",(+IF(Tabla3[[#This Row], [SALDO POR PAGAR]]=0,"TOTAL","PARCIAL")))</f>
      </c>
    </row>
    <row x14ac:dyDescent="0.25" r="67" customHeight="1" ht="18.75">
      <c r="A67" s="116">
        <v>60</v>
      </c>
      <c r="B67" s="142">
        <v>46203</v>
      </c>
      <c r="C67" s="143">
        <v>46203</v>
      </c>
      <c r="D67" s="120" t="s">
        <v>1099</v>
      </c>
      <c r="E67" s="144" t="s">
        <v>1047</v>
      </c>
      <c r="F67" s="145" t="s">
        <v>149</v>
      </c>
      <c r="G67" s="152" t="s">
        <v>929</v>
      </c>
      <c r="H67" s="147">
        <f>IFERROR(+VLOOKUP(G67,Tabla1[#All],2,FALSE),"-")</f>
      </c>
      <c r="I67" s="147" t="s">
        <v>230</v>
      </c>
      <c r="J67" s="120" t="s">
        <v>1251</v>
      </c>
      <c r="K67" s="11"/>
      <c r="L67" s="148" t="s">
        <v>1252</v>
      </c>
      <c r="M67" s="120" t="s">
        <v>1253</v>
      </c>
      <c r="N67" s="149">
        <f>IF(Tabla3[[#This Row], [NRO. DOI]]="","",(IF(Tabla3[[#This Row], [MONEDA]]="Soles",(+VLOOKUP(G67,Tabla1[#All],3,FALSE)),(+VLOOKUP(G67,Tabla6[#All],3,FALSE)))))</f>
      </c>
      <c r="O67" s="120">
        <f>IF(Tabla3[[#This Row], [NRO. DOI]]="","",(IF(Tabla3[[#This Row], [MONEDA]]="Soles",(+VLOOKUP(G67,Tabla1[#All],4,FALSE)),(+VLOOKUP(G67,Tabla6[#All],4,FALSE)))))</f>
      </c>
      <c r="P67" s="147" t="s">
        <v>127</v>
      </c>
      <c r="Q67" s="150"/>
      <c r="R67" s="119">
        <v>472</v>
      </c>
      <c r="S67" s="119">
        <f>+IF(Tabla3[[#This Row], [MONEDA]]="DOLARES",Tabla3[[#This Row], [MONTO BRUTO]]*Tabla3[[#This Row], [TIPO DE CAMBIO]],0)</f>
      </c>
      <c r="T67" s="119">
        <v>0</v>
      </c>
      <c r="U67" s="119">
        <f>IF(Tabla3[[#This Row], [TIPO DE BIEN O SERVICIO]]="",0,+Tabla3[[#This Row], [MONTO BRUTO]]-Tabla3[[#This Row], [DETRACCION]])</f>
      </c>
      <c r="V67" s="149" t="s">
        <v>312</v>
      </c>
      <c r="W67" s="143">
        <v>46209</v>
      </c>
      <c r="X67" s="151">
        <f>IF(Tabla3[[#This Row], [TIPO DE BIEN O SERVICIO]]="",0,+Tabla3[[#This Row], [MONTO BRUTO]]-Tabla3[[#This Row], [DETRACCION]])</f>
      </c>
      <c r="Y67" s="151">
        <f>+Tabla3[[#This Row], [MONTO NETO A PAGAR]]-Tabla3[[#This Row], [MONTO PAGADO]]</f>
      </c>
      <c r="Z67" s="147">
        <f>IF(Tabla3[[#This Row], [MONTO PAGADO]]=0,"",(+IF(Tabla3[[#This Row], [SALDO POR PAGAR]]=0,"TOTAL","PARCIAL")))</f>
      </c>
    </row>
    <row x14ac:dyDescent="0.25" r="68" customHeight="1" ht="18.75">
      <c r="A68" s="116">
        <v>61</v>
      </c>
      <c r="B68" s="142">
        <v>46204</v>
      </c>
      <c r="C68" s="143">
        <v>46204</v>
      </c>
      <c r="D68" s="120" t="s">
        <v>1099</v>
      </c>
      <c r="E68" s="144" t="s">
        <v>1047</v>
      </c>
      <c r="F68" s="145" t="s">
        <v>149</v>
      </c>
      <c r="G68" s="146" t="s">
        <v>904</v>
      </c>
      <c r="H68" s="147">
        <f>IFERROR(+VLOOKUP(G68,Tabla1[#All],2,FALSE),"-")</f>
      </c>
      <c r="I68" s="147" t="s">
        <v>230</v>
      </c>
      <c r="J68" s="120" t="s">
        <v>1254</v>
      </c>
      <c r="K68" s="11"/>
      <c r="L68" s="148" t="s">
        <v>1255</v>
      </c>
      <c r="M68" s="120" t="s">
        <v>1110</v>
      </c>
      <c r="N68" s="149">
        <f>IF(Tabla3[[#This Row], [NRO. DOI]]="","",(IF(Tabla3[[#This Row], [MONEDA]]="Soles",(+VLOOKUP(G68,Tabla1[#All],3,FALSE)),(+VLOOKUP(G68,Tabla6[#All],3,FALSE)))))</f>
      </c>
      <c r="O68" s="120">
        <f>IF(Tabla3[[#This Row], [NRO. DOI]]="","",(IF(Tabla3[[#This Row], [MONEDA]]="Soles",(+VLOOKUP(G68,Tabla1[#All],4,FALSE)),(+VLOOKUP(G68,Tabla6[#All],4,FALSE)))))</f>
      </c>
      <c r="P68" s="147" t="s">
        <v>127</v>
      </c>
      <c r="Q68" s="150"/>
      <c r="R68" s="119">
        <v>4720</v>
      </c>
      <c r="S68" s="119">
        <f>+IF(Tabla3[[#This Row], [MONEDA]]="DOLARES",Tabla3[[#This Row], [MONTO BRUTO]]*Tabla3[[#This Row], [TIPO DE CAMBIO]],0)</f>
      </c>
      <c r="T68" s="119">
        <v>566</v>
      </c>
      <c r="U68" s="119">
        <f>IF(Tabla3[[#This Row], [TIPO DE BIEN O SERVICIO]]="",0,+Tabla3[[#This Row], [MONTO BRUTO]]-Tabla3[[#This Row], [DETRACCION]])</f>
      </c>
      <c r="V68" s="149" t="s">
        <v>312</v>
      </c>
      <c r="W68" s="143">
        <v>46209</v>
      </c>
      <c r="X68" s="151">
        <f>IF(Tabla3[[#This Row], [TIPO DE BIEN O SERVICIO]]="",0,+Tabla3[[#This Row], [MONTO BRUTO]]-Tabla3[[#This Row], [DETRACCION]])</f>
      </c>
      <c r="Y68" s="151">
        <f>+Tabla3[[#This Row], [MONTO NETO A PAGAR]]-Tabla3[[#This Row], [MONTO PAGADO]]</f>
      </c>
      <c r="Z68" s="147">
        <f>IF(Tabla3[[#This Row], [MONTO PAGADO]]=0,"",(+IF(Tabla3[[#This Row], [SALDO POR PAGAR]]=0,"TOTAL","PARCIAL")))</f>
      </c>
    </row>
    <row x14ac:dyDescent="0.25" r="69" customHeight="1" ht="18.75">
      <c r="A69" s="116">
        <v>62</v>
      </c>
      <c r="B69" s="142">
        <v>46204</v>
      </c>
      <c r="C69" s="143">
        <v>46204</v>
      </c>
      <c r="D69" s="120" t="s">
        <v>1099</v>
      </c>
      <c r="E69" s="144" t="s">
        <v>1047</v>
      </c>
      <c r="F69" s="145" t="s">
        <v>149</v>
      </c>
      <c r="G69" s="146" t="s">
        <v>714</v>
      </c>
      <c r="H69" s="147">
        <f>IFERROR(+VLOOKUP(G69,Tabla1[#All],2,FALSE),"-")</f>
      </c>
      <c r="I69" s="147" t="s">
        <v>230</v>
      </c>
      <c r="J69" s="120" t="s">
        <v>1256</v>
      </c>
      <c r="K69" s="11"/>
      <c r="L69" s="148" t="s">
        <v>1257</v>
      </c>
      <c r="M69" s="120" t="s">
        <v>1105</v>
      </c>
      <c r="N69" s="149">
        <f>IF(Tabla3[[#This Row], [NRO. DOI]]="","",(IF(Tabla3[[#This Row], [MONEDA]]="Soles",(+VLOOKUP(G69,Tabla1[#All],3,FALSE)),(+VLOOKUP(G69,Tabla6[#All],3,FALSE)))))</f>
      </c>
      <c r="O69" s="120">
        <f>IF(Tabla3[[#This Row], [NRO. DOI]]="","",(IF(Tabla3[[#This Row], [MONEDA]]="Soles",(+VLOOKUP(G69,Tabla1[#All],4,FALSE)),(+VLOOKUP(G69,Tabla6[#All],4,FALSE)))))</f>
      </c>
      <c r="P69" s="147" t="s">
        <v>128</v>
      </c>
      <c r="Q69" s="150">
        <v>3.5</v>
      </c>
      <c r="R69" s="119">
        <v>76.89</v>
      </c>
      <c r="S69" s="119">
        <f>+IF(Tabla3[[#This Row], [MONEDA]]="DOLARES",Tabla3[[#This Row], [MONTO BRUTO]]*Tabla3[[#This Row], [TIPO DE CAMBIO]],0)</f>
      </c>
      <c r="T69" s="119">
        <v>0</v>
      </c>
      <c r="U69" s="119">
        <f>IF(Tabla3[[#This Row], [TIPO DE BIEN O SERVICIO]]="",0,+Tabla3[[#This Row], [MONTO BRUTO]]-Tabla3[[#This Row], [DETRACCION]])</f>
      </c>
      <c r="V69" s="149" t="s">
        <v>312</v>
      </c>
      <c r="W69" s="143">
        <v>46209</v>
      </c>
      <c r="X69" s="151">
        <f>IF(Tabla3[[#This Row], [TIPO DE BIEN O SERVICIO]]="",0,+Tabla3[[#This Row], [MONTO BRUTO]]-Tabla3[[#This Row], [DETRACCION]])</f>
      </c>
      <c r="Y69" s="151">
        <f>+Tabla3[[#This Row], [MONTO NETO A PAGAR]]-Tabla3[[#This Row], [MONTO PAGADO]]</f>
      </c>
      <c r="Z69" s="147">
        <f>IF(Tabla3[[#This Row], [MONTO PAGADO]]=0,"",(+IF(Tabla3[[#This Row], [SALDO POR PAGAR]]=0,"TOTAL","PARCIAL")))</f>
      </c>
    </row>
    <row x14ac:dyDescent="0.25" r="70" customHeight="1" ht="18.75">
      <c r="A70" s="116">
        <v>63</v>
      </c>
      <c r="B70" s="142">
        <v>46204</v>
      </c>
      <c r="C70" s="143">
        <v>46204</v>
      </c>
      <c r="D70" s="120" t="s">
        <v>1099</v>
      </c>
      <c r="E70" s="144" t="s">
        <v>1047</v>
      </c>
      <c r="F70" s="145" t="s">
        <v>149</v>
      </c>
      <c r="G70" s="146" t="s">
        <v>982</v>
      </c>
      <c r="H70" s="147">
        <f>IFERROR(+VLOOKUP(G70,Tabla1[#All],2,FALSE),"-")</f>
      </c>
      <c r="I70" s="147" t="s">
        <v>224</v>
      </c>
      <c r="J70" s="120" t="s">
        <v>1258</v>
      </c>
      <c r="K70" s="11"/>
      <c r="L70" s="148" t="s">
        <v>1259</v>
      </c>
      <c r="M70" s="120" t="s">
        <v>1178</v>
      </c>
      <c r="N70" s="149">
        <f>IF(Tabla3[[#This Row], [NRO. DOI]]="","",(IF(Tabla3[[#This Row], [MONEDA]]="Soles",(+VLOOKUP(G70,Tabla1[#All],3,FALSE)),(+VLOOKUP(G70,Tabla6[#All],3,FALSE)))))</f>
      </c>
      <c r="O70" s="120">
        <f>IF(Tabla3[[#This Row], [NRO. DOI]]="","",(IF(Tabla3[[#This Row], [MONEDA]]="Soles",(+VLOOKUP(G70,Tabla1[#All],4,FALSE)),(+VLOOKUP(G70,Tabla6[#All],4,FALSE)))))</f>
      </c>
      <c r="P70" s="147" t="s">
        <v>127</v>
      </c>
      <c r="Q70" s="150"/>
      <c r="R70" s="119">
        <v>1989</v>
      </c>
      <c r="S70" s="119">
        <f>+IF(Tabla3[[#This Row], [MONEDA]]="DOLARES",Tabla3[[#This Row], [MONTO BRUTO]]*Tabla3[[#This Row], [TIPO DE CAMBIO]],0)</f>
      </c>
      <c r="T70" s="119">
        <v>0</v>
      </c>
      <c r="U70" s="119">
        <f>IF(Tabla3[[#This Row], [TIPO DE BIEN O SERVICIO]]="",0,+Tabla3[[#This Row], [MONTO BRUTO]]-Tabla3[[#This Row], [DETRACCION]])</f>
      </c>
      <c r="V70" s="149" t="s">
        <v>312</v>
      </c>
      <c r="W70" s="143">
        <v>46209</v>
      </c>
      <c r="X70" s="151">
        <f>IF(Tabla3[[#This Row], [TIPO DE BIEN O SERVICIO]]="",0,+Tabla3[[#This Row], [MONTO BRUTO]]-Tabla3[[#This Row], [DETRACCION]])</f>
      </c>
      <c r="Y70" s="151">
        <f>+Tabla3[[#This Row], [MONTO NETO A PAGAR]]-Tabla3[[#This Row], [MONTO PAGADO]]</f>
      </c>
      <c r="Z70" s="147">
        <f>IF(Tabla3[[#This Row], [MONTO PAGADO]]=0,"",(+IF(Tabla3[[#This Row], [SALDO POR PAGAR]]=0,"TOTAL","PARCIAL")))</f>
      </c>
    </row>
    <row x14ac:dyDescent="0.25" r="71" customHeight="1" ht="18.75">
      <c r="A71" s="116">
        <v>64</v>
      </c>
      <c r="B71" s="142">
        <v>46204</v>
      </c>
      <c r="C71" s="143">
        <v>46204</v>
      </c>
      <c r="D71" s="120" t="s">
        <v>1099</v>
      </c>
      <c r="E71" s="144" t="s">
        <v>1047</v>
      </c>
      <c r="F71" s="145" t="s">
        <v>149</v>
      </c>
      <c r="G71" s="146" t="s">
        <v>213</v>
      </c>
      <c r="H71" s="147">
        <f>IFERROR(+VLOOKUP(G71,Tabla1[#All],2,FALSE),"-")</f>
      </c>
      <c r="I71" s="147" t="s">
        <v>224</v>
      </c>
      <c r="J71" s="120" t="s">
        <v>1260</v>
      </c>
      <c r="K71" s="11"/>
      <c r="L71" s="148" t="s">
        <v>1261</v>
      </c>
      <c r="M71" s="120" t="s">
        <v>1098</v>
      </c>
      <c r="N71" s="149">
        <f>IF(Tabla3[[#This Row], [NRO. DOI]]="","",(IF(Tabla3[[#This Row], [MONEDA]]="Soles",(+VLOOKUP(G71,Tabla1[#All],3,FALSE)),(+VLOOKUP(G71,Tabla6[#All],3,FALSE)))))</f>
      </c>
      <c r="O71" s="120">
        <f>IF(Tabla3[[#This Row], [NRO. DOI]]="","",(IF(Tabla3[[#This Row], [MONEDA]]="Soles",(+VLOOKUP(G71,Tabla1[#All],4,FALSE)),(+VLOOKUP(G71,Tabla6[#All],4,FALSE)))))</f>
      </c>
      <c r="P71" s="147" t="s">
        <v>127</v>
      </c>
      <c r="Q71" s="150"/>
      <c r="R71" s="119">
        <v>677.5</v>
      </c>
      <c r="S71" s="119">
        <f>+IF(Tabla3[[#This Row], [MONEDA]]="DOLARES",Tabla3[[#This Row], [MONTO BRUTO]]*Tabla3[[#This Row], [TIPO DE CAMBIO]],0)</f>
      </c>
      <c r="T71" s="119">
        <v>0</v>
      </c>
      <c r="U71" s="119">
        <f>IF(Tabla3[[#This Row], [TIPO DE BIEN O SERVICIO]]="",0,+Tabla3[[#This Row], [MONTO BRUTO]]-Tabla3[[#This Row], [DETRACCION]])</f>
      </c>
      <c r="V71" s="149" t="s">
        <v>312</v>
      </c>
      <c r="W71" s="143">
        <v>46209</v>
      </c>
      <c r="X71" s="151">
        <f>IF(Tabla3[[#This Row], [TIPO DE BIEN O SERVICIO]]="",0,+Tabla3[[#This Row], [MONTO BRUTO]]-Tabla3[[#This Row], [DETRACCION]])</f>
      </c>
      <c r="Y71" s="151">
        <f>+Tabla3[[#This Row], [MONTO NETO A PAGAR]]-Tabla3[[#This Row], [MONTO PAGADO]]</f>
      </c>
      <c r="Z71" s="147">
        <f>IF(Tabla3[[#This Row], [MONTO PAGADO]]=0,"",(+IF(Tabla3[[#This Row], [SALDO POR PAGAR]]=0,"TOTAL","PARCIAL")))</f>
      </c>
    </row>
    <row x14ac:dyDescent="0.25" r="72" customHeight="1" ht="18.75">
      <c r="A72" s="116">
        <v>65</v>
      </c>
      <c r="B72" s="142">
        <v>47300</v>
      </c>
      <c r="C72" s="143">
        <v>46203</v>
      </c>
      <c r="D72" s="120" t="s">
        <v>1099</v>
      </c>
      <c r="E72" s="144" t="s">
        <v>1047</v>
      </c>
      <c r="F72" s="145" t="s">
        <v>149</v>
      </c>
      <c r="G72" s="146" t="s">
        <v>209</v>
      </c>
      <c r="H72" s="147">
        <f>IFERROR(+VLOOKUP(G72,Tabla1[#All],2,FALSE),"-")</f>
      </c>
      <c r="I72" s="147" t="s">
        <v>224</v>
      </c>
      <c r="J72" s="120" t="s">
        <v>1262</v>
      </c>
      <c r="K72" s="11"/>
      <c r="L72" s="148" t="s">
        <v>1261</v>
      </c>
      <c r="M72" s="120" t="s">
        <v>1098</v>
      </c>
      <c r="N72" s="149">
        <f>IF(Tabla3[[#This Row], [NRO. DOI]]="","",(IF(Tabla3[[#This Row], [MONEDA]]="Soles",(+VLOOKUP(G72,Tabla1[#All],3,FALSE)),(+VLOOKUP(G72,Tabla6[#All],3,FALSE)))))</f>
      </c>
      <c r="O72" s="120">
        <f>IF(Tabla3[[#This Row], [NRO. DOI]]="","",(IF(Tabla3[[#This Row], [MONEDA]]="Soles",(+VLOOKUP(G72,Tabla1[#All],4,FALSE)),(+VLOOKUP(G72,Tabla6[#All],4,FALSE)))))</f>
      </c>
      <c r="P72" s="147" t="s">
        <v>127</v>
      </c>
      <c r="Q72" s="150"/>
      <c r="R72" s="119">
        <v>1559.19</v>
      </c>
      <c r="S72" s="119">
        <f>+IF(Tabla3[[#This Row], [MONEDA]]="DOLARES",Tabla3[[#This Row], [MONTO BRUTO]]*Tabla3[[#This Row], [TIPO DE CAMBIO]],0)</f>
      </c>
      <c r="T72" s="119">
        <v>0</v>
      </c>
      <c r="U72" s="119">
        <f>IF(Tabla3[[#This Row], [TIPO DE BIEN O SERVICIO]]="",0,+Tabla3[[#This Row], [MONTO BRUTO]]-Tabla3[[#This Row], [DETRACCION]])</f>
      </c>
      <c r="V72" s="149" t="s">
        <v>312</v>
      </c>
      <c r="W72" s="143">
        <v>46209</v>
      </c>
      <c r="X72" s="151">
        <f>IF(Tabla3[[#This Row], [TIPO DE BIEN O SERVICIO]]="",0,+Tabla3[[#This Row], [MONTO BRUTO]]-Tabla3[[#This Row], [DETRACCION]])</f>
      </c>
      <c r="Y72" s="151">
        <f>+Tabla3[[#This Row], [MONTO NETO A PAGAR]]-Tabla3[[#This Row], [MONTO PAGADO]]</f>
      </c>
      <c r="Z72" s="147">
        <f>IF(Tabla3[[#This Row], [MONTO PAGADO]]=0,"",(+IF(Tabla3[[#This Row], [SALDO POR PAGAR]]=0,"TOTAL","PARCIAL")))</f>
      </c>
    </row>
    <row x14ac:dyDescent="0.25" r="73" customHeight="1" ht="18.75">
      <c r="A73" s="116">
        <v>66</v>
      </c>
      <c r="B73" s="142">
        <v>46205</v>
      </c>
      <c r="C73" s="143">
        <v>46203</v>
      </c>
      <c r="D73" s="120" t="s">
        <v>1099</v>
      </c>
      <c r="E73" s="144" t="s">
        <v>1047</v>
      </c>
      <c r="F73" s="145" t="s">
        <v>149</v>
      </c>
      <c r="G73" s="146" t="s">
        <v>178</v>
      </c>
      <c r="H73" s="147">
        <f>IFERROR(+VLOOKUP(G73,Tabla1[#All],2,FALSE),"-")</f>
      </c>
      <c r="I73" s="147" t="s">
        <v>230</v>
      </c>
      <c r="J73" s="120" t="s">
        <v>1263</v>
      </c>
      <c r="K73" s="11"/>
      <c r="L73" s="148" t="s">
        <v>1264</v>
      </c>
      <c r="M73" s="120" t="s">
        <v>1265</v>
      </c>
      <c r="N73" s="149">
        <f>IF(Tabla3[[#This Row], [NRO. DOI]]="","",(IF(Tabla3[[#This Row], [MONEDA]]="Soles",(+VLOOKUP(G73,Tabla1[#All],3,FALSE)),(+VLOOKUP(G73,Tabla6[#All],3,FALSE)))))</f>
      </c>
      <c r="O73" s="120">
        <f>IF(Tabla3[[#This Row], [NRO. DOI]]="","",(IF(Tabla3[[#This Row], [MONEDA]]="Soles",(+VLOOKUP(G73,Tabla1[#All],4,FALSE)),(+VLOOKUP(G73,Tabla6[#All],4,FALSE)))))</f>
      </c>
      <c r="P73" s="147" t="s">
        <v>127</v>
      </c>
      <c r="Q73" s="150"/>
      <c r="R73" s="119">
        <v>577.02</v>
      </c>
      <c r="S73" s="119">
        <f>+IF(Tabla3[[#This Row], [MONEDA]]="DOLARES",Tabla3[[#This Row], [MONTO BRUTO]]*Tabla3[[#This Row], [TIPO DE CAMBIO]],0)</f>
      </c>
      <c r="T73" s="119"/>
      <c r="U73" s="119">
        <f>IF(Tabla3[[#This Row], [TIPO DE BIEN O SERVICIO]]="",0,+Tabla3[[#This Row], [MONTO BRUTO]]-Tabla3[[#This Row], [DETRACCION]])</f>
      </c>
      <c r="V73" s="149" t="s">
        <v>312</v>
      </c>
      <c r="W73" s="143">
        <v>46209</v>
      </c>
      <c r="X73" s="151">
        <f>IF(Tabla3[[#This Row], [TIPO DE BIEN O SERVICIO]]="",0,+Tabla3[[#This Row], [MONTO BRUTO]]-Tabla3[[#This Row], [DETRACCION]])</f>
      </c>
      <c r="Y73" s="151">
        <f>+Tabla3[[#This Row], [MONTO NETO A PAGAR]]-Tabla3[[#This Row], [MONTO PAGADO]]</f>
      </c>
      <c r="Z73" s="147">
        <f>IF(Tabla3[[#This Row], [MONTO PAGADO]]=0,"",(+IF(Tabla3[[#This Row], [SALDO POR PAGAR]]=0,"TOTAL","PARCIAL")))</f>
      </c>
    </row>
    <row x14ac:dyDescent="0.25" r="74" customHeight="1" ht="18.75">
      <c r="A74" s="116">
        <v>67</v>
      </c>
      <c r="B74" s="142">
        <v>46205</v>
      </c>
      <c r="C74" s="143">
        <v>46205</v>
      </c>
      <c r="D74" s="120" t="s">
        <v>1099</v>
      </c>
      <c r="E74" s="144" t="s">
        <v>1047</v>
      </c>
      <c r="F74" s="145" t="s">
        <v>149</v>
      </c>
      <c r="G74" s="146" t="s">
        <v>985</v>
      </c>
      <c r="H74" s="147">
        <f>IFERROR(+VLOOKUP(G74,Tabla1[#All],2,FALSE),"-")</f>
      </c>
      <c r="I74" s="147" t="s">
        <v>224</v>
      </c>
      <c r="J74" s="120" t="s">
        <v>1061</v>
      </c>
      <c r="K74" s="11"/>
      <c r="L74" s="148" t="s">
        <v>1062</v>
      </c>
      <c r="M74" s="120" t="s">
        <v>1105</v>
      </c>
      <c r="N74" s="149">
        <f>IF(Tabla3[[#This Row], [NRO. DOI]]="","",(IF(Tabla3[[#This Row], [MONEDA]]="Soles",(+VLOOKUP(G74,Tabla1[#All],3,FALSE)),(+VLOOKUP(G74,Tabla6[#All],3,FALSE)))))</f>
      </c>
      <c r="O74" s="120">
        <f>IF(Tabla3[[#This Row], [NRO. DOI]]="","",(IF(Tabla3[[#This Row], [MONEDA]]="Soles",(+VLOOKUP(G74,Tabla1[#All],4,FALSE)),(+VLOOKUP(G74,Tabla6[#All],4,FALSE)))))</f>
      </c>
      <c r="P74" s="147" t="s">
        <v>127</v>
      </c>
      <c r="Q74" s="150"/>
      <c r="R74" s="119">
        <v>6584.4</v>
      </c>
      <c r="S74" s="119">
        <f>+IF(Tabla3[[#This Row], [MONEDA]]="DOLARES",Tabla3[[#This Row], [MONTO BRUTO]]*Tabla3[[#This Row], [TIPO DE CAMBIO]],0)</f>
      </c>
      <c r="T74" s="119">
        <v>790</v>
      </c>
      <c r="U74" s="119">
        <f>IF(Tabla3[[#This Row], [TIPO DE BIEN O SERVICIO]]="",0,+Tabla3[[#This Row], [MONTO BRUTO]]-Tabla3[[#This Row], [DETRACCION]])</f>
      </c>
      <c r="V74" s="149" t="s">
        <v>123</v>
      </c>
      <c r="W74" s="143"/>
      <c r="X74" s="151">
        <f>IF(Tabla3[[#This Row], [TIPO DE BIEN O SERVICIO]]="",0,+Tabla3[[#This Row], [MONTO BRUTO]]-Tabla3[[#This Row], [DETRACCION]])</f>
      </c>
      <c r="Y74" s="151">
        <f>+Tabla3[[#This Row], [MONTO NETO A PAGAR]]-Tabla3[[#This Row], [MONTO PAGADO]]</f>
      </c>
      <c r="Z74" s="147">
        <f>IF(Tabla3[[#This Row], [MONTO PAGADO]]=0,"",(+IF(Tabla3[[#This Row], [SALDO POR PAGAR]]=0,"TOTAL","PARCIAL")))</f>
      </c>
    </row>
    <row x14ac:dyDescent="0.25" r="75" customHeight="1" ht="18.75">
      <c r="A75" s="116">
        <v>68</v>
      </c>
      <c r="B75" s="142">
        <v>46209</v>
      </c>
      <c r="C75" s="143">
        <v>46209</v>
      </c>
      <c r="D75" s="120" t="s">
        <v>1099</v>
      </c>
      <c r="E75" s="144" t="s">
        <v>1047</v>
      </c>
      <c r="F75" s="145" t="s">
        <v>149</v>
      </c>
      <c r="G75" s="146" t="s">
        <v>635</v>
      </c>
      <c r="H75" s="147">
        <f>IFERROR(+VLOOKUP(G75,Tabla1[#All],2,FALSE),"-")</f>
      </c>
      <c r="I75" s="147" t="s">
        <v>252</v>
      </c>
      <c r="J75" s="120" t="s">
        <v>1266</v>
      </c>
      <c r="K75" s="11"/>
      <c r="L75" s="148" t="s">
        <v>1267</v>
      </c>
      <c r="M75" s="120" t="s">
        <v>1105</v>
      </c>
      <c r="N75" s="149">
        <f>IF(Tabla3[[#This Row], [NRO. DOI]]="","",(IF(Tabla3[[#This Row], [MONEDA]]="Soles",(+VLOOKUP(G75,Tabla1[#All],3,FALSE)),(+VLOOKUP(G75,Tabla6[#All],3,FALSE)))))</f>
      </c>
      <c r="O75" s="120">
        <f>IF(Tabla3[[#This Row], [NRO. DOI]]="","",(IF(Tabla3[[#This Row], [MONEDA]]="Soles",(+VLOOKUP(G75,Tabla1[#All],4,FALSE)),(+VLOOKUP(G75,Tabla6[#All],4,FALSE)))))</f>
      </c>
      <c r="P75" s="147" t="s">
        <v>127</v>
      </c>
      <c r="Q75" s="150"/>
      <c r="R75" s="119">
        <v>50000</v>
      </c>
      <c r="S75" s="119">
        <f>+IF(Tabla3[[#This Row], [MONEDA]]="DOLARES",Tabla3[[#This Row], [MONTO BRUTO]]*Tabla3[[#This Row], [TIPO DE CAMBIO]],0)</f>
      </c>
      <c r="T75" s="119">
        <v>0</v>
      </c>
      <c r="U75" s="119">
        <f>IF(Tabla3[[#This Row], [TIPO DE BIEN O SERVICIO]]="",0,+Tabla3[[#This Row], [MONTO BRUTO]]-Tabla3[[#This Row], [DETRACCION]])</f>
      </c>
      <c r="V75" s="149" t="s">
        <v>312</v>
      </c>
      <c r="W75" s="143">
        <v>46209</v>
      </c>
      <c r="X75" s="151">
        <f>IF(Tabla3[[#This Row], [TIPO DE BIEN O SERVICIO]]="",0,+Tabla3[[#This Row], [MONTO BRUTO]]-Tabla3[[#This Row], [DETRACCION]])</f>
      </c>
      <c r="Y75" s="151">
        <f>+Tabla3[[#This Row], [MONTO NETO A PAGAR]]-Tabla3[[#This Row], [MONTO PAGADO]]</f>
      </c>
      <c r="Z75" s="147">
        <f>IF(Tabla3[[#This Row], [MONTO PAGADO]]=0,"",(+IF(Tabla3[[#This Row], [SALDO POR PAGAR]]=0,"TOTAL","PARCIAL")))</f>
      </c>
    </row>
    <row x14ac:dyDescent="0.25" r="76" customHeight="1" ht="18.75">
      <c r="A76" s="116">
        <v>69</v>
      </c>
      <c r="B76" s="142">
        <v>46209</v>
      </c>
      <c r="C76" s="143">
        <v>46209</v>
      </c>
      <c r="D76" s="120" t="s">
        <v>1099</v>
      </c>
      <c r="E76" s="144" t="s">
        <v>1047</v>
      </c>
      <c r="F76" s="145" t="s">
        <v>149</v>
      </c>
      <c r="G76" s="146" t="s">
        <v>635</v>
      </c>
      <c r="H76" s="147">
        <f>IFERROR(+VLOOKUP(G76,Tabla1[#All],2,FALSE),"-")</f>
      </c>
      <c r="I76" s="147" t="s">
        <v>252</v>
      </c>
      <c r="J76" s="120" t="s">
        <v>1266</v>
      </c>
      <c r="K76" s="11"/>
      <c r="L76" s="148" t="s">
        <v>1268</v>
      </c>
      <c r="M76" s="120" t="s">
        <v>1105</v>
      </c>
      <c r="N76" s="149">
        <f>IF(Tabla3[[#This Row], [NRO. DOI]]="","",(IF(Tabla3[[#This Row], [MONEDA]]="Soles",(+VLOOKUP(G76,Tabla1[#All],3,FALSE)),(+VLOOKUP(G76,Tabla6[#All],3,FALSE)))))</f>
      </c>
      <c r="O76" s="120">
        <f>IF(Tabla3[[#This Row], [NRO. DOI]]="","",(IF(Tabla3[[#This Row], [MONEDA]]="Soles",(+VLOOKUP(G76,Tabla1[#All],4,FALSE)),(+VLOOKUP(G76,Tabla6[#All],4,FALSE)))))</f>
      </c>
      <c r="P76" s="147" t="s">
        <v>127</v>
      </c>
      <c r="Q76" s="150"/>
      <c r="R76" s="119">
        <v>12000</v>
      </c>
      <c r="S76" s="119">
        <f>+IF(Tabla3[[#This Row], [MONEDA]]="DOLARES",Tabla3[[#This Row], [MONTO BRUTO]]*Tabla3[[#This Row], [TIPO DE CAMBIO]],0)</f>
      </c>
      <c r="T76" s="119">
        <v>0</v>
      </c>
      <c r="U76" s="119">
        <f>IF(Tabla3[[#This Row], [TIPO DE BIEN O SERVICIO]]="",0,+Tabla3[[#This Row], [MONTO BRUTO]]-Tabla3[[#This Row], [DETRACCION]])</f>
      </c>
      <c r="V76" s="149" t="s">
        <v>312</v>
      </c>
      <c r="W76" s="143">
        <v>46209</v>
      </c>
      <c r="X76" s="151">
        <f>IF(Tabla3[[#This Row], [TIPO DE BIEN O SERVICIO]]="",0,+Tabla3[[#This Row], [MONTO BRUTO]]-Tabla3[[#This Row], [DETRACCION]])</f>
      </c>
      <c r="Y76" s="151">
        <f>+Tabla3[[#This Row], [MONTO NETO A PAGAR]]-Tabla3[[#This Row], [MONTO PAGADO]]</f>
      </c>
      <c r="Z76" s="147">
        <f>IF(Tabla3[[#This Row], [MONTO PAGADO]]=0,"",(+IF(Tabla3[[#This Row], [SALDO POR PAGAR]]=0,"TOTAL","PARCIAL")))</f>
      </c>
    </row>
    <row x14ac:dyDescent="0.25" r="77" customHeight="1" ht="18.75">
      <c r="A77" s="116">
        <v>70</v>
      </c>
      <c r="B77" s="142">
        <v>46207</v>
      </c>
      <c r="C77" s="143">
        <v>46207</v>
      </c>
      <c r="D77" s="120" t="s">
        <v>1099</v>
      </c>
      <c r="E77" s="144" t="s">
        <v>1047</v>
      </c>
      <c r="F77" s="145" t="s">
        <v>1114</v>
      </c>
      <c r="G77" s="146" t="s">
        <v>988</v>
      </c>
      <c r="H77" s="147">
        <f>IFERROR(+VLOOKUP(G77,Tabla1[#All],2,FALSE),"-")</f>
      </c>
      <c r="I77" s="147" t="s">
        <v>247</v>
      </c>
      <c r="J77" s="120" t="s">
        <v>247</v>
      </c>
      <c r="K77" s="11"/>
      <c r="L77" s="148" t="s">
        <v>1269</v>
      </c>
      <c r="M77" s="120" t="s">
        <v>1181</v>
      </c>
      <c r="N77" s="149">
        <f>IF(Tabla3[[#This Row], [NRO. DOI]]="","",(IF(Tabla3[[#This Row], [MONEDA]]="Soles",(+VLOOKUP(G77,Tabla1[#All],3,FALSE)),(+VLOOKUP(G77,Tabla6[#All],3,FALSE)))))</f>
      </c>
      <c r="O77" s="120">
        <f>IF(Tabla3[[#This Row], [NRO. DOI]]="","",(IF(Tabla3[[#This Row], [MONEDA]]="Soles",(+VLOOKUP(G77,Tabla1[#All],4,FALSE)),(+VLOOKUP(G77,Tabla6[#All],4,FALSE)))))</f>
      </c>
      <c r="P77" s="147" t="s">
        <v>127</v>
      </c>
      <c r="Q77" s="150"/>
      <c r="R77" s="119">
        <f>200+149.6</f>
      </c>
      <c r="S77" s="119">
        <f>+IF(Tabla3[[#This Row], [MONEDA]]="DOLARES",Tabla3[[#This Row], [MONTO BRUTO]]*Tabla3[[#This Row], [TIPO DE CAMBIO]],0)</f>
      </c>
      <c r="T77" s="119">
        <v>0</v>
      </c>
      <c r="U77" s="119">
        <f>IF(Tabla3[[#This Row], [TIPO DE BIEN O SERVICIO]]="",0,+Tabla3[[#This Row], [MONTO BRUTO]]-Tabla3[[#This Row], [DETRACCION]])</f>
      </c>
      <c r="V77" s="149" t="s">
        <v>312</v>
      </c>
      <c r="W77" s="143">
        <v>46209</v>
      </c>
      <c r="X77" s="151">
        <f>IF(Tabla3[[#This Row], [TIPO DE BIEN O SERVICIO]]="",0,+Tabla3[[#This Row], [MONTO BRUTO]]-Tabla3[[#This Row], [DETRACCION]])</f>
      </c>
      <c r="Y77" s="151">
        <f>+Tabla3[[#This Row], [MONTO NETO A PAGAR]]-Tabla3[[#This Row], [MONTO PAGADO]]</f>
      </c>
      <c r="Z77" s="147">
        <f>IF(Tabla3[[#This Row], [MONTO PAGADO]]=0,"",(+IF(Tabla3[[#This Row], [SALDO POR PAGAR]]=0,"TOTAL","PARCIAL")))</f>
      </c>
    </row>
    <row x14ac:dyDescent="0.25" r="78" customHeight="1" ht="18.75">
      <c r="A78" s="116">
        <v>71</v>
      </c>
      <c r="B78" s="142">
        <v>46208</v>
      </c>
      <c r="C78" s="143">
        <v>46208</v>
      </c>
      <c r="D78" s="120" t="s">
        <v>1099</v>
      </c>
      <c r="E78" s="144" t="s">
        <v>1047</v>
      </c>
      <c r="F78" s="145" t="s">
        <v>149</v>
      </c>
      <c r="G78" s="146" t="s">
        <v>886</v>
      </c>
      <c r="H78" s="147">
        <f>IFERROR(+VLOOKUP(G78,Tabla1[#All],2,FALSE),"-")</f>
      </c>
      <c r="I78" s="147" t="s">
        <v>230</v>
      </c>
      <c r="J78" s="120" t="s">
        <v>1270</v>
      </c>
      <c r="K78" s="11"/>
      <c r="L78" s="148" t="s">
        <v>1271</v>
      </c>
      <c r="M78" s="120" t="s">
        <v>1105</v>
      </c>
      <c r="N78" s="149">
        <f>IF(Tabla3[[#This Row], [NRO. DOI]]="","",(IF(Tabla3[[#This Row], [MONEDA]]="Soles",(+VLOOKUP(G78,Tabla1[#All],3,FALSE)),(+VLOOKUP(G78,Tabla6[#All],3,FALSE)))))</f>
      </c>
      <c r="O78" s="120">
        <f>IF(Tabla3[[#This Row], [NRO. DOI]]="","",(IF(Tabla3[[#This Row], [MONEDA]]="Soles",(+VLOOKUP(G78,Tabla1[#All],4,FALSE)),(+VLOOKUP(G78,Tabla6[#All],4,FALSE)))))</f>
      </c>
      <c r="P78" s="147" t="s">
        <v>128</v>
      </c>
      <c r="Q78" s="150">
        <v>3.5</v>
      </c>
      <c r="R78" s="119">
        <v>1357</v>
      </c>
      <c r="S78" s="119">
        <f>+IF(Tabla3[[#This Row], [MONEDA]]="DOLARES",Tabla3[[#This Row], [MONTO BRUTO]]*Tabla3[[#This Row], [TIPO DE CAMBIO]],0)</f>
      </c>
      <c r="T78" s="119">
        <v>163</v>
      </c>
      <c r="U78" s="119">
        <f>IF(Tabla3[[#This Row], [TIPO DE BIEN O SERVICIO]]="",0,+Tabla3[[#This Row], [MONTO BRUTO]]-Tabla3[[#This Row], [DETRACCION]])</f>
      </c>
      <c r="V78" s="149" t="s">
        <v>312</v>
      </c>
      <c r="W78" s="143">
        <v>46209</v>
      </c>
      <c r="X78" s="151">
        <f>IF(Tabla3[[#This Row], [TIPO DE BIEN O SERVICIO]]="",0,+Tabla3[[#This Row], [MONTO BRUTO]]-Tabla3[[#This Row], [DETRACCION]])</f>
      </c>
      <c r="Y78" s="151">
        <f>+Tabla3[[#This Row], [MONTO NETO A PAGAR]]-Tabla3[[#This Row], [MONTO PAGADO]]</f>
      </c>
      <c r="Z78" s="147">
        <f>IF(Tabla3[[#This Row], [MONTO PAGADO]]=0,"",(+IF(Tabla3[[#This Row], [SALDO POR PAGAR]]=0,"TOTAL","PARCIAL")))</f>
      </c>
    </row>
    <row x14ac:dyDescent="0.25" r="79" customHeight="1" ht="18.75">
      <c r="A79" s="116">
        <v>72</v>
      </c>
      <c r="B79" s="142">
        <v>46209</v>
      </c>
      <c r="C79" s="143">
        <v>46206</v>
      </c>
      <c r="D79" s="120" t="s">
        <v>1099</v>
      </c>
      <c r="E79" s="144" t="s">
        <v>1047</v>
      </c>
      <c r="F79" s="145" t="s">
        <v>149</v>
      </c>
      <c r="G79" s="146" t="s">
        <v>991</v>
      </c>
      <c r="H79" s="147">
        <f>IFERROR(+VLOOKUP(G79,Tabla1[#All],2,FALSE),"-")</f>
      </c>
      <c r="I79" s="147" t="s">
        <v>230</v>
      </c>
      <c r="J79" s="120" t="s">
        <v>1272</v>
      </c>
      <c r="K79" s="11"/>
      <c r="L79" s="148" t="s">
        <v>1273</v>
      </c>
      <c r="M79" s="120" t="s">
        <v>1170</v>
      </c>
      <c r="N79" s="149">
        <f>IF(Tabla3[[#This Row], [NRO. DOI]]="","",(IF(Tabla3[[#This Row], [MONEDA]]="Soles",(+VLOOKUP(G79,Tabla1[#All],3,FALSE)),(+VLOOKUP(G79,Tabla6[#All],3,FALSE)))))</f>
      </c>
      <c r="O79" s="120">
        <f>IF(Tabla3[[#This Row], [NRO. DOI]]="","",(IF(Tabla3[[#This Row], [MONEDA]]="Soles",(+VLOOKUP(G79,Tabla1[#All],4,FALSE)),(+VLOOKUP(G79,Tabla6[#All],4,FALSE)))))</f>
      </c>
      <c r="P79" s="147" t="s">
        <v>127</v>
      </c>
      <c r="Q79" s="150"/>
      <c r="R79" s="119">
        <v>7080</v>
      </c>
      <c r="S79" s="119">
        <f>+IF(Tabla3[[#This Row], [MONEDA]]="DOLARES",Tabla3[[#This Row], [MONTO BRUTO]]*Tabla3[[#This Row], [TIPO DE CAMBIO]],0)</f>
      </c>
      <c r="T79" s="119">
        <v>850</v>
      </c>
      <c r="U79" s="119">
        <f>IF(Tabla3[[#This Row], [TIPO DE BIEN O SERVICIO]]="",0,+Tabla3[[#This Row], [MONTO BRUTO]]-Tabla3[[#This Row], [DETRACCION]])</f>
      </c>
      <c r="V79" s="149" t="s">
        <v>312</v>
      </c>
      <c r="W79" s="143">
        <v>46209</v>
      </c>
      <c r="X79" s="151">
        <f>IF(Tabla3[[#This Row], [TIPO DE BIEN O SERVICIO]]="",0,+Tabla3[[#This Row], [MONTO BRUTO]]-Tabla3[[#This Row], [DETRACCION]])</f>
      </c>
      <c r="Y79" s="151">
        <f>+Tabla3[[#This Row], [MONTO NETO A PAGAR]]-Tabla3[[#This Row], [MONTO PAGADO]]</f>
      </c>
      <c r="Z79" s="147">
        <f>IF(Tabla3[[#This Row], [MONTO PAGADO]]=0,"",(+IF(Tabla3[[#This Row], [SALDO POR PAGAR]]=0,"TOTAL","PARCIAL")))</f>
      </c>
    </row>
    <row x14ac:dyDescent="0.25" r="80" customHeight="1" ht="18.75">
      <c r="A80" s="116">
        <v>73</v>
      </c>
      <c r="B80" s="142">
        <v>46209</v>
      </c>
      <c r="C80" s="143">
        <v>46209</v>
      </c>
      <c r="D80" s="120" t="s">
        <v>1099</v>
      </c>
      <c r="E80" s="144" t="s">
        <v>1047</v>
      </c>
      <c r="F80" s="145" t="s">
        <v>149</v>
      </c>
      <c r="G80" s="146" t="s">
        <v>994</v>
      </c>
      <c r="H80" s="147">
        <f>IFERROR(+VLOOKUP(G80,Tabla1[#All],2,FALSE),"-")</f>
      </c>
      <c r="I80" s="147" t="s">
        <v>252</v>
      </c>
      <c r="J80" s="120" t="s">
        <v>1274</v>
      </c>
      <c r="K80" s="11"/>
      <c r="L80" s="148" t="s">
        <v>1275</v>
      </c>
      <c r="M80" s="120" t="s">
        <v>1113</v>
      </c>
      <c r="N80" s="149">
        <f>IF(Tabla3[[#This Row], [NRO. DOI]]="","",(IF(Tabla3[[#This Row], [MONEDA]]="Soles",(+VLOOKUP(G80,Tabla1[#All],3,FALSE)),(+VLOOKUP(G80,Tabla6[#All],3,FALSE)))))</f>
      </c>
      <c r="O80" s="120">
        <f>IF(Tabla3[[#This Row], [NRO. DOI]]="","",(IF(Tabla3[[#This Row], [MONEDA]]="Soles",(+VLOOKUP(G80,Tabla1[#All],4,FALSE)),(+VLOOKUP(G80,Tabla6[#All],4,FALSE)))))</f>
      </c>
      <c r="P80" s="147" t="s">
        <v>127</v>
      </c>
      <c r="Q80" s="150"/>
      <c r="R80" s="119">
        <v>1500</v>
      </c>
      <c r="S80" s="119">
        <f>+IF(Tabla3[[#This Row], [MONEDA]]="DOLARES",Tabla3[[#This Row], [MONTO BRUTO]]*Tabla3[[#This Row], [TIPO DE CAMBIO]],0)</f>
      </c>
      <c r="T80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80" s="119">
        <f>IF(Tabla3[[#This Row], [TIPO DE BIEN O SERVICIO]]="",0,+Tabla3[[#This Row], [MONTO BRUTO]]-Tabla3[[#This Row], [DETRACCION]])</f>
      </c>
      <c r="V80" s="149" t="s">
        <v>312</v>
      </c>
      <c r="W80" s="143">
        <v>46209</v>
      </c>
      <c r="X80" s="151">
        <f>IF(Tabla3[[#This Row], [TIPO DE BIEN O SERVICIO]]="",0,+Tabla3[[#This Row], [MONTO BRUTO]]-Tabla3[[#This Row], [DETRACCION]])</f>
      </c>
      <c r="Y80" s="151">
        <f>+Tabla3[[#This Row], [MONTO NETO A PAGAR]]-Tabla3[[#This Row], [MONTO PAGADO]]</f>
      </c>
      <c r="Z80" s="147">
        <f>IF(Tabla3[[#This Row], [MONTO PAGADO]]=0,"",(+IF(Tabla3[[#This Row], [SALDO POR PAGAR]]=0,"TOTAL","PARCIAL")))</f>
      </c>
    </row>
    <row x14ac:dyDescent="0.25" r="81" customHeight="1" ht="18.75">
      <c r="A81" s="116">
        <v>74</v>
      </c>
      <c r="B81" s="142">
        <v>46209</v>
      </c>
      <c r="C81" s="143">
        <v>46206</v>
      </c>
      <c r="D81" s="120" t="s">
        <v>1099</v>
      </c>
      <c r="E81" s="144" t="s">
        <v>1047</v>
      </c>
      <c r="F81" s="145" t="s">
        <v>149</v>
      </c>
      <c r="G81" s="146" t="s">
        <v>438</v>
      </c>
      <c r="H81" s="147">
        <f>IFERROR(+VLOOKUP(G81,Tabla1[#All],2,FALSE),"-")</f>
      </c>
      <c r="I81" s="147" t="s">
        <v>247</v>
      </c>
      <c r="J81" s="120" t="s">
        <v>247</v>
      </c>
      <c r="K81" s="11"/>
      <c r="L81" s="148" t="s">
        <v>1276</v>
      </c>
      <c r="M81" s="120" t="s">
        <v>1113</v>
      </c>
      <c r="N81" s="149">
        <f>IF(Tabla3[[#This Row], [NRO. DOI]]="","",(IF(Tabla3[[#This Row], [MONEDA]]="Soles",(+VLOOKUP(G81,Tabla1[#All],3,FALSE)),(+VLOOKUP(G81,Tabla6[#All],3,FALSE)))))</f>
      </c>
      <c r="O81" s="120">
        <f>IF(Tabla3[[#This Row], [NRO. DOI]]="","",(IF(Tabla3[[#This Row], [MONEDA]]="Soles",(+VLOOKUP(G81,Tabla1[#All],4,FALSE)),(+VLOOKUP(G81,Tabla6[#All],4,FALSE)))))</f>
      </c>
      <c r="P81" s="147" t="s">
        <v>127</v>
      </c>
      <c r="Q81" s="150"/>
      <c r="R81" s="119">
        <v>302.5</v>
      </c>
      <c r="S81" s="119">
        <f>+IF(Tabla3[[#This Row], [MONEDA]]="DOLARES",Tabla3[[#This Row], [MONTO BRUTO]]*Tabla3[[#This Row], [TIPO DE CAMBIO]],0)</f>
      </c>
      <c r="T81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81" s="119">
        <f>IF(Tabla3[[#This Row], [TIPO DE BIEN O SERVICIO]]="",0,+Tabla3[[#This Row], [MONTO BRUTO]]-Tabla3[[#This Row], [DETRACCION]])</f>
      </c>
      <c r="V81" s="149" t="s">
        <v>312</v>
      </c>
      <c r="W81" s="143">
        <v>46209</v>
      </c>
      <c r="X81" s="151">
        <f>IF(Tabla3[[#This Row], [TIPO DE BIEN O SERVICIO]]="",0,+Tabla3[[#This Row], [MONTO BRUTO]]-Tabla3[[#This Row], [DETRACCION]])</f>
      </c>
      <c r="Y81" s="151">
        <f>+Tabla3[[#This Row], [MONTO NETO A PAGAR]]-Tabla3[[#This Row], [MONTO PAGADO]]</f>
      </c>
      <c r="Z81" s="147">
        <f>IF(Tabla3[[#This Row], [MONTO PAGADO]]=0,"",(+IF(Tabla3[[#This Row], [SALDO POR PAGAR]]=0,"TOTAL","PARCIAL")))</f>
      </c>
    </row>
    <row x14ac:dyDescent="0.25" r="82" customHeight="1" ht="18.75">
      <c r="A82" s="116">
        <v>75</v>
      </c>
      <c r="B82" s="142">
        <v>46198</v>
      </c>
      <c r="C82" s="143">
        <v>46182</v>
      </c>
      <c r="D82" s="120" t="s">
        <v>1099</v>
      </c>
      <c r="E82" s="144" t="s">
        <v>1047</v>
      </c>
      <c r="F82" s="145" t="s">
        <v>149</v>
      </c>
      <c r="G82" s="146" t="s">
        <v>997</v>
      </c>
      <c r="H82" s="147">
        <f>IFERROR(+VLOOKUP(G82,Tabla1[#All],2,FALSE),"-")</f>
      </c>
      <c r="I82" s="147" t="s">
        <v>224</v>
      </c>
      <c r="J82" s="120" t="s">
        <v>1277</v>
      </c>
      <c r="K82" s="11"/>
      <c r="L82" s="148" t="s">
        <v>1278</v>
      </c>
      <c r="M82" s="120" t="s">
        <v>1147</v>
      </c>
      <c r="N82" s="149">
        <f>IF(Tabla3[[#This Row], [NRO. DOI]]="","",(IF(Tabla3[[#This Row], [MONEDA]]="Soles",(+VLOOKUP(G82,Tabla1[#All],3,FALSE)),(+VLOOKUP(G82,Tabla6[#All],3,FALSE)))))</f>
      </c>
      <c r="O82" s="120">
        <f>IF(Tabla3[[#This Row], [NRO. DOI]]="","",(IF(Tabla3[[#This Row], [MONEDA]]="Soles",(+VLOOKUP(G82,Tabla1[#All],4,FALSE)),(+VLOOKUP(G82,Tabla6[#All],4,FALSE)))))</f>
      </c>
      <c r="P82" s="147" t="s">
        <v>128</v>
      </c>
      <c r="Q82" s="150">
        <v>3.5</v>
      </c>
      <c r="R82" s="119">
        <f>(2489*18%)+2489</f>
      </c>
      <c r="S82" s="119">
        <f>+IF(Tabla3[[#This Row], [MONEDA]]="DOLARES",Tabla3[[#This Row], [MONTO BRUTO]]*Tabla3[[#This Row], [TIPO DE CAMBIO]],0)</f>
      </c>
      <c r="T82" s="119">
        <v>0</v>
      </c>
      <c r="U82" s="119">
        <f>IF(Tabla3[[#This Row], [TIPO DE BIEN O SERVICIO]]="",0,+Tabla3[[#This Row], [MONTO BRUTO]]-Tabla3[[#This Row], [DETRACCION]])</f>
      </c>
      <c r="V82" s="149" t="s">
        <v>312</v>
      </c>
      <c r="W82" s="143">
        <v>46209</v>
      </c>
      <c r="X82" s="151">
        <f>IF(Tabla3[[#This Row], [TIPO DE BIEN O SERVICIO]]="",0,+Tabla3[[#This Row], [MONTO BRUTO]]-Tabla3[[#This Row], [DETRACCION]])</f>
      </c>
      <c r="Y82" s="151">
        <f>+Tabla3[[#This Row], [MONTO NETO A PAGAR]]-Tabla3[[#This Row], [MONTO PAGADO]]</f>
      </c>
      <c r="Z82" s="147">
        <f>IF(Tabla3[[#This Row], [MONTO PAGADO]]=0,"",(+IF(Tabla3[[#This Row], [SALDO POR PAGAR]]=0,"TOTAL","PARCIAL")))</f>
      </c>
    </row>
    <row x14ac:dyDescent="0.25" r="83" customHeight="1" ht="18.75">
      <c r="A83" s="116">
        <v>76</v>
      </c>
      <c r="B83" s="142">
        <v>46204</v>
      </c>
      <c r="C83" s="143">
        <v>46204</v>
      </c>
      <c r="D83" s="120" t="s">
        <v>1099</v>
      </c>
      <c r="E83" s="144" t="s">
        <v>1047</v>
      </c>
      <c r="F83" s="145" t="s">
        <v>149</v>
      </c>
      <c r="G83" s="146" t="s">
        <v>787</v>
      </c>
      <c r="H83" s="147">
        <f>IFERROR(+VLOOKUP(G83,Tabla1[#All],2,FALSE),"-")</f>
      </c>
      <c r="I83" s="147" t="s">
        <v>230</v>
      </c>
      <c r="J83" s="120" t="s">
        <v>1279</v>
      </c>
      <c r="K83" s="11"/>
      <c r="L83" s="148" t="s">
        <v>1280</v>
      </c>
      <c r="M83" s="120" t="s">
        <v>1281</v>
      </c>
      <c r="N83" s="149">
        <f>IF(Tabla3[[#This Row], [NRO. DOI]]="","",(IF(Tabla3[[#This Row], [MONEDA]]="Soles",(+VLOOKUP(G83,Tabla1[#All],3,FALSE)),(+VLOOKUP(G83,Tabla6[#All],3,FALSE)))))</f>
      </c>
      <c r="O83" s="120">
        <f>IF(Tabla3[[#This Row], [NRO. DOI]]="","",(IF(Tabla3[[#This Row], [MONEDA]]="Soles",(+VLOOKUP(G83,Tabla1[#All],4,FALSE)),(+VLOOKUP(G83,Tabla6[#All],4,FALSE)))))</f>
      </c>
      <c r="P83" s="147" t="s">
        <v>127</v>
      </c>
      <c r="Q83" s="150"/>
      <c r="R83" s="119">
        <v>382.2</v>
      </c>
      <c r="S83" s="119">
        <f>+IF(Tabla3[[#This Row], [MONEDA]]="DOLARES",Tabla3[[#This Row], [MONTO BRUTO]]*Tabla3[[#This Row], [TIPO DE CAMBIO]],0)</f>
      </c>
      <c r="T83" s="119">
        <v>0</v>
      </c>
      <c r="U83" s="119">
        <f>IF(Tabla3[[#This Row], [TIPO DE BIEN O SERVICIO]]="",0,+Tabla3[[#This Row], [MONTO BRUTO]]-Tabla3[[#This Row], [DETRACCION]])</f>
      </c>
      <c r="V83" s="149" t="s">
        <v>312</v>
      </c>
      <c r="W83" s="143">
        <v>46209</v>
      </c>
      <c r="X83" s="151">
        <f>IF(Tabla3[[#This Row], [TIPO DE BIEN O SERVICIO]]="",0,+Tabla3[[#This Row], [MONTO BRUTO]]-Tabla3[[#This Row], [DETRACCION]])</f>
      </c>
      <c r="Y83" s="151">
        <f>+Tabla3[[#This Row], [MONTO NETO A PAGAR]]-Tabla3[[#This Row], [MONTO PAGADO]]</f>
      </c>
      <c r="Z83" s="147">
        <f>IF(Tabla3[[#This Row], [MONTO PAGADO]]=0,"",(+IF(Tabla3[[#This Row], [SALDO POR PAGAR]]=0,"TOTAL","PARCIAL")))</f>
      </c>
    </row>
    <row x14ac:dyDescent="0.25" r="84" customHeight="1" ht="18.75">
      <c r="A84" s="116">
        <v>77</v>
      </c>
      <c r="B84" s="142">
        <v>46212</v>
      </c>
      <c r="C84" s="143">
        <v>46212</v>
      </c>
      <c r="D84" s="120" t="s">
        <v>1099</v>
      </c>
      <c r="E84" s="144" t="s">
        <v>1047</v>
      </c>
      <c r="F84" s="145" t="s">
        <v>149</v>
      </c>
      <c r="G84" s="153" t="s">
        <v>999</v>
      </c>
      <c r="H84" s="147">
        <f>IFERROR(+VLOOKUP(G84,Tabla1[#All],2,FALSE),"-")</f>
      </c>
      <c r="I84" s="147" t="s">
        <v>224</v>
      </c>
      <c r="J84" s="120" t="s">
        <v>1282</v>
      </c>
      <c r="K84" s="11"/>
      <c r="L84" s="148" t="s">
        <v>1283</v>
      </c>
      <c r="M84" s="120" t="s">
        <v>1113</v>
      </c>
      <c r="N84" s="149">
        <f>IF(Tabla3[[#This Row], [NRO. DOI]]="","",(IF(Tabla3[[#This Row], [MONEDA]]="Soles",(+VLOOKUP(G84,Tabla1[#All],3,FALSE)),(+VLOOKUP(G84,Tabla6[#All],3,FALSE)))))</f>
      </c>
      <c r="O84" s="120">
        <f>IF(Tabla3[[#This Row], [NRO. DOI]]="","",(IF(Tabla3[[#This Row], [MONEDA]]="Soles",(+VLOOKUP(G84,Tabla1[#All],4,FALSE)),(+VLOOKUP(G84,Tabla6[#All],4,FALSE)))))</f>
      </c>
      <c r="P84" s="147" t="s">
        <v>128</v>
      </c>
      <c r="Q84" s="150">
        <v>3.5</v>
      </c>
      <c r="R84" s="119">
        <v>198.4</v>
      </c>
      <c r="S84" s="119">
        <f>+IF(Tabla3[[#This Row], [MONEDA]]="DOLARES",Tabla3[[#This Row], [MONTO BRUTO]]*Tabla3[[#This Row], [TIPO DE CAMBIO]],0)</f>
      </c>
      <c r="T84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84" s="119">
        <f>IF(Tabla3[[#This Row], [TIPO DE BIEN O SERVICIO]]="",0,+Tabla3[[#This Row], [MONTO BRUTO]]-Tabla3[[#This Row], [DETRACCION]])</f>
      </c>
      <c r="V84" s="149" t="s">
        <v>312</v>
      </c>
      <c r="W84" s="143">
        <v>46212</v>
      </c>
      <c r="X84" s="151">
        <f>IF(Tabla3[[#This Row], [TIPO DE BIEN O SERVICIO]]="",0,+Tabla3[[#This Row], [MONTO BRUTO]]-Tabla3[[#This Row], [DETRACCION]])</f>
      </c>
      <c r="Y84" s="151">
        <f>+Tabla3[[#This Row], [MONTO NETO A PAGAR]]-Tabla3[[#This Row], [MONTO PAGADO]]</f>
      </c>
      <c r="Z84" s="147">
        <f>IF(Tabla3[[#This Row], [MONTO PAGADO]]=0,"",(+IF(Tabla3[[#This Row], [SALDO POR PAGAR]]=0,"TOTAL","PARCIAL")))</f>
      </c>
    </row>
    <row x14ac:dyDescent="0.25" r="85" customHeight="1" ht="18.75">
      <c r="A85" s="116">
        <v>78</v>
      </c>
      <c r="B85" s="142">
        <v>46209</v>
      </c>
      <c r="C85" s="143">
        <v>46209</v>
      </c>
      <c r="D85" s="120" t="s">
        <v>1099</v>
      </c>
      <c r="E85" s="144" t="s">
        <v>1047</v>
      </c>
      <c r="F85" s="145" t="s">
        <v>1114</v>
      </c>
      <c r="G85" s="154" t="s">
        <v>363</v>
      </c>
      <c r="H85" s="147">
        <f>IFERROR(+VLOOKUP(G85,Tabla1[#All],2,FALSE),"-")</f>
      </c>
      <c r="I85" s="147" t="s">
        <v>247</v>
      </c>
      <c r="J85" s="120" t="s">
        <v>1284</v>
      </c>
      <c r="K85" s="11"/>
      <c r="L85" s="148" t="s">
        <v>1285</v>
      </c>
      <c r="M85" s="120" t="s">
        <v>1113</v>
      </c>
      <c r="N85" s="149">
        <f>IF(Tabla3[[#This Row], [NRO. DOI]]="","",(IF(Tabla3[[#This Row], [MONEDA]]="Soles",(+VLOOKUP(G85,Tabla1[#All],3,FALSE)),(+VLOOKUP(G85,Tabla6[#All],3,FALSE)))))</f>
      </c>
      <c r="O85" s="120">
        <f>IF(Tabla3[[#This Row], [NRO. DOI]]="","",(IF(Tabla3[[#This Row], [MONEDA]]="Soles",(+VLOOKUP(G85,Tabla1[#All],4,FALSE)),(+VLOOKUP(G85,Tabla6[#All],4,FALSE)))))</f>
      </c>
      <c r="P85" s="147" t="s">
        <v>127</v>
      </c>
      <c r="Q85" s="150"/>
      <c r="R85" s="119">
        <v>60</v>
      </c>
      <c r="S85" s="119">
        <f>+IF(Tabla3[[#This Row], [MONEDA]]="DOLARES",Tabla3[[#This Row], [MONTO BRUTO]]*Tabla3[[#This Row], [TIPO DE CAMBIO]],0)</f>
      </c>
      <c r="T85" s="119">
        <f>IF(Tabla3[[#This Row], [MONEDA]]="soles",(IF(Tabla3[[#This Row], [TIPO DE BIEN O SERVICIO]]="","INGRESAR TIPO DE BIEN O SERVICIO",ROUND(IF(Tabla3[[#This Row], [MONTO BRUTO]]&gt;700,(IF(Tabla3[[#This Row], [MONEDA]]="SOLES",+VLOOKUP(Tabla3[[#This Row], [TIPO DE BIEN O SERVICIO]],Tabla2[#All],3,FALSE)*Tabla3[[#This Row], [MONTO BRUTO]],0)),0),0))),(IF(Tabla3[[#This Row], [TIPO DE BIEN O SERVICIO]]="","INGRESAR TIPO DE BIEN O SERVICIO",ROUND(IF(Tabla3[[#This Row], [MONTO BRUTO USD-SOLES]]&gt;700,(IF(Tabla3[[#This Row], [MONEDA]]="DOLARES",+VLOOKUP(Tabla3[[#This Row], [TIPO DE BIEN O SERVICIO]],Tabla2[#All],3,FALSE)*Tabla3[[#This Row], [MONTO BRUTO]],0)),0),0))))</f>
      </c>
      <c r="U85" s="119">
        <f>IF(Tabla3[[#This Row], [TIPO DE BIEN O SERVICIO]]="",0,+Tabla3[[#This Row], [MONTO BRUTO]]-Tabla3[[#This Row], [DETRACCION]])</f>
      </c>
      <c r="V85" s="149" t="s">
        <v>312</v>
      </c>
      <c r="W85" s="143">
        <v>46212</v>
      </c>
      <c r="X85" s="151">
        <f>IF(Tabla3[[#This Row], [TIPO DE BIEN O SERVICIO]]="",0,+Tabla3[[#This Row], [MONTO BRUTO]]-Tabla3[[#This Row], [DETRACCION]])</f>
      </c>
      <c r="Y85" s="151">
        <f>+Tabla3[[#This Row], [MONTO NETO A PAGAR]]-Tabla3[[#This Row], [MONTO PAGADO]]</f>
      </c>
      <c r="Z85" s="147">
        <f>IF(Tabla3[[#This Row], [MONTO PAGADO]]=0,"",(+IF(Tabla3[[#This Row], [SALDO POR PAGAR]]=0,"TOTAL","PARCIAL")))</f>
      </c>
    </row>
    <row x14ac:dyDescent="0.25" r="86" customHeight="1" ht="18.75">
      <c r="A86" s="116">
        <v>79</v>
      </c>
      <c r="B86" s="142">
        <v>46212</v>
      </c>
      <c r="C86" s="143">
        <v>46206</v>
      </c>
      <c r="D86" s="120" t="s">
        <v>1099</v>
      </c>
      <c r="E86" s="144" t="s">
        <v>1047</v>
      </c>
      <c r="F86" s="145" t="s">
        <v>149</v>
      </c>
      <c r="G86" s="154" t="s">
        <v>723</v>
      </c>
      <c r="H86" s="147">
        <f>IFERROR(+VLOOKUP(G86,Tabla1[#All],2,FALSE),"-")</f>
      </c>
      <c r="I86" s="147" t="s">
        <v>224</v>
      </c>
      <c r="J86" s="120" t="s">
        <v>1286</v>
      </c>
      <c r="K86" s="11"/>
      <c r="L86" s="148" t="s">
        <v>1287</v>
      </c>
      <c r="M86" s="120" t="s">
        <v>1288</v>
      </c>
      <c r="N86" s="149">
        <f>IF(Tabla3[[#This Row], [NRO. DOI]]="","",(IF(Tabla3[[#This Row], [MONEDA]]="Soles",(+VLOOKUP(G86,Tabla1[#All],3,FALSE)),(+VLOOKUP(G86,Tabla6[#All],3,FALSE)))))</f>
      </c>
      <c r="O86" s="120">
        <f>IF(Tabla3[[#This Row], [NRO. DOI]]="","",(IF(Tabla3[[#This Row], [MONEDA]]="Soles",(+VLOOKUP(G86,Tabla1[#All],4,FALSE)),(+VLOOKUP(G86,Tabla6[#All],4,FALSE)))))</f>
      </c>
      <c r="P86" s="147" t="s">
        <v>127</v>
      </c>
      <c r="Q86" s="150"/>
      <c r="R86" s="119">
        <v>700</v>
      </c>
      <c r="S86" s="119">
        <f>+IF(Tabla3[[#This Row], [MONEDA]]="DOLARES",Tabla3[[#This Row], [MONTO BRUTO]]*Tabla3[[#This Row], [TIPO DE CAMBIO]],0)</f>
      </c>
      <c r="T86" s="119"/>
      <c r="U86" s="119">
        <f>IF(Tabla3[[#This Row], [TIPO DE BIEN O SERVICIO]]="",0,+Tabla3[[#This Row], [MONTO BRUTO]]-Tabla3[[#This Row], [DETRACCION]])</f>
      </c>
      <c r="V86" s="149" t="s">
        <v>312</v>
      </c>
      <c r="W86" s="143">
        <v>46212</v>
      </c>
      <c r="X86" s="151">
        <f>IF(Tabla3[[#This Row], [TIPO DE BIEN O SERVICIO]]="",0,+Tabla3[[#This Row], [MONTO BRUTO]]-Tabla3[[#This Row], [DETRACCION]])</f>
      </c>
      <c r="Y86" s="151">
        <f>+Tabla3[[#This Row], [MONTO NETO A PAGAR]]-Tabla3[[#This Row], [MONTO PAGADO]]</f>
      </c>
      <c r="Z86" s="147">
        <f>IF(Tabla3[[#This Row], [MONTO PAGADO]]=0,"",(+IF(Tabla3[[#This Row], [SALDO POR PAGAR]]=0,"TOTAL","PARCIAL")))</f>
      </c>
    </row>
    <row x14ac:dyDescent="0.25" r="87" customHeight="1" ht="18.75">
      <c r="A87" s="116">
        <v>80</v>
      </c>
      <c r="B87" s="142">
        <v>46212</v>
      </c>
      <c r="C87" s="143">
        <v>46211</v>
      </c>
      <c r="D87" s="120" t="s">
        <v>1099</v>
      </c>
      <c r="E87" s="144" t="s">
        <v>1047</v>
      </c>
      <c r="F87" s="145" t="s">
        <v>149</v>
      </c>
      <c r="G87" s="154" t="s">
        <v>196</v>
      </c>
      <c r="H87" s="147">
        <f>IFERROR(+VLOOKUP(G87,Tabla1[#All],2,FALSE),"-")</f>
      </c>
      <c r="I87" s="147" t="s">
        <v>230</v>
      </c>
      <c r="J87" s="120" t="s">
        <v>1289</v>
      </c>
      <c r="K87" s="11"/>
      <c r="L87" s="148" t="s">
        <v>1290</v>
      </c>
      <c r="M87" s="120" t="s">
        <v>1110</v>
      </c>
      <c r="N87" s="149">
        <f>IF(Tabla3[[#This Row], [NRO. DOI]]="","",(IF(Tabla3[[#This Row], [MONEDA]]="Soles",(+VLOOKUP(G87,Tabla1[#All],3,FALSE)),(+VLOOKUP(G87,Tabla6[#All],3,FALSE)))))</f>
      </c>
      <c r="O87" s="120">
        <f>IF(Tabla3[[#This Row], [NRO. DOI]]="","",(IF(Tabla3[[#This Row], [MONEDA]]="Soles",(+VLOOKUP(G87,Tabla1[#All],4,FALSE)),(+VLOOKUP(G87,Tabla6[#All],4,FALSE)))))</f>
      </c>
      <c r="P87" s="147" t="s">
        <v>127</v>
      </c>
      <c r="Q87" s="150"/>
      <c r="R87" s="119">
        <v>155</v>
      </c>
      <c r="S87" s="119">
        <f>+IF(Tabla3[[#This Row], [MONEDA]]="DOLARES",Tabla3[[#This Row], [MONTO BRUTO]]*Tabla3[[#This Row], [TIPO DE CAMBIO]],0)</f>
      </c>
      <c r="T87" s="119"/>
      <c r="U87" s="119">
        <f>IF(Tabla3[[#This Row], [TIPO DE BIEN O SERVICIO]]="",0,+Tabla3[[#This Row], [MONTO BRUTO]]-Tabla3[[#This Row], [DETRACCION]])</f>
      </c>
      <c r="V87" s="149" t="s">
        <v>312</v>
      </c>
      <c r="W87" s="143">
        <v>46212</v>
      </c>
      <c r="X87" s="151">
        <f>IF(Tabla3[[#This Row], [TIPO DE BIEN O SERVICIO]]="",0,+Tabla3[[#This Row], [MONTO BRUTO]]-Tabla3[[#This Row], [DETRACCION]])</f>
      </c>
      <c r="Y87" s="151">
        <f>+Tabla3[[#This Row], [MONTO NETO A PAGAR]]-Tabla3[[#This Row], [MONTO PAGADO]]</f>
      </c>
      <c r="Z87" s="147">
        <f>IF(Tabla3[[#This Row], [MONTO PAGADO]]=0,"",(+IF(Tabla3[[#This Row], [SALDO POR PAGAR]]=0,"TOTAL","PARCIAL")))</f>
      </c>
    </row>
    <row x14ac:dyDescent="0.25" r="88" customHeight="1" ht="18.75">
      <c r="A88" s="116">
        <v>81</v>
      </c>
      <c r="B88" s="142">
        <v>46198</v>
      </c>
      <c r="C88" s="143">
        <v>46198</v>
      </c>
      <c r="D88" s="120" t="s">
        <v>1099</v>
      </c>
      <c r="E88" s="144" t="s">
        <v>1047</v>
      </c>
      <c r="F88" s="145" t="s">
        <v>149</v>
      </c>
      <c r="G88" s="146" t="s">
        <v>170</v>
      </c>
      <c r="H88" s="147">
        <f>IFERROR(+VLOOKUP(G88,Tabla1[#All],2,FALSE),"-")</f>
      </c>
      <c r="I88" s="147" t="s">
        <v>230</v>
      </c>
      <c r="J88" s="148" t="s">
        <v>1063</v>
      </c>
      <c r="K88" s="11"/>
      <c r="L88" s="148" t="s">
        <v>1064</v>
      </c>
      <c r="M88" s="120" t="s">
        <v>1291</v>
      </c>
      <c r="N88" s="149">
        <f>IF(Tabla3[[#This Row], [NRO. DOI]]="","",(IF(Tabla3[[#This Row], [MONEDA]]="Soles",(+VLOOKUP(G88,Tabla1[#All],3,FALSE)),(+VLOOKUP(G88,Tabla6[#All],3,FALSE)))))</f>
      </c>
      <c r="O88" s="120">
        <f>IF(Tabla3[[#This Row], [NRO. DOI]]="","",(IF(Tabla3[[#This Row], [MONEDA]]="Soles",(+VLOOKUP(G88,Tabla1[#All],4,FALSE)),(+VLOOKUP(G88,Tabla6[#All],4,FALSE)))))</f>
      </c>
      <c r="P88" s="147" t="s">
        <v>127</v>
      </c>
      <c r="Q88" s="150"/>
      <c r="R88" s="119">
        <v>23458.4</v>
      </c>
      <c r="S88" s="119">
        <f>+IF(Tabla3[[#This Row], [MONEDA]]="DOLARES",Tabla3[[#This Row], [MONTO BRUTO]]*Tabla3[[#This Row], [TIPO DE CAMBIO]],0)</f>
      </c>
      <c r="T88" s="119">
        <v>2815</v>
      </c>
      <c r="U88" s="119">
        <f>IF(Tabla3[[#This Row], [TIPO DE BIEN O SERVICIO]]="",0,+Tabla3[[#This Row], [MONTO BRUTO]]-Tabla3[[#This Row], [DETRACCION]])</f>
      </c>
      <c r="V88" s="149" t="s">
        <v>123</v>
      </c>
      <c r="W88" s="143"/>
      <c r="X88" s="151">
        <f>IF(Tabla3[[#This Row], [TIPO DE BIEN O SERVICIO]]="",0,+Tabla3[[#This Row], [MONTO BRUTO]]-Tabla3[[#This Row], [DETRACCION]])</f>
      </c>
      <c r="Y88" s="151">
        <f>+Tabla3[[#This Row], [MONTO NETO A PAGAR]]-Tabla3[[#This Row], [MONTO PAGADO]]</f>
      </c>
      <c r="Z88" s="147">
        <f>IF(Tabla3[[#This Row], [MONTO PAGADO]]=0,"",(+IF(Tabla3[[#This Row], [SALDO POR PAGAR]]=0,"TOTAL","PARCIAL")))</f>
      </c>
    </row>
    <row x14ac:dyDescent="0.25" r="89" customHeight="1" ht="18.75">
      <c r="A89" s="116">
        <v>82</v>
      </c>
      <c r="B89" s="142"/>
      <c r="C89" s="143"/>
      <c r="D89" s="11"/>
      <c r="E89" s="11"/>
      <c r="F89" s="145"/>
      <c r="G89" s="9"/>
      <c r="H89" s="147">
        <f>IFERROR(+VLOOKUP(G89,Tabla1[#All],2,FALSE),"-")</f>
      </c>
      <c r="I89" s="155"/>
      <c r="J89" s="11"/>
      <c r="K89" s="11"/>
      <c r="L89" s="156"/>
      <c r="M89" s="115"/>
      <c r="N89" s="149">
        <f>IF(Tabla3[[#This Row], [NRO. DOI]]="","",(IF(Tabla3[[#This Row], [MONEDA]]="Soles",(+VLOOKUP(G89,Tabla1[#All],3,FALSE)),(+VLOOKUP(G89,Tabla6[#All],3,FALSE)))))</f>
      </c>
      <c r="O89" s="120">
        <f>IF(Tabla3[[#This Row], [NRO. DOI]]="","",(IF(Tabla3[[#This Row], [MONEDA]]="Soles",(+VLOOKUP(G89,Tabla1[#All],4,FALSE)),(+VLOOKUP(G89,Tabla6[#All],4,FALSE)))))</f>
      </c>
      <c r="P89" s="11"/>
      <c r="Q89" s="150"/>
      <c r="R89" s="101"/>
      <c r="S89" s="119">
        <f>+IF(Tabla3[[#This Row], [MONEDA]]="DOLARES",Tabla3[[#This Row], [MONTO BRUTO]]*Tabla3[[#This Row], [TIPO DE CAMBIO]],0)</f>
      </c>
      <c r="T89" s="119"/>
      <c r="U89" s="119">
        <f>IF(Tabla3[[#This Row], [TIPO DE BIEN O SERVICIO]]="",0,+Tabla3[[#This Row], [MONTO BRUTO]]-Tabla3[[#This Row], [DETRACCION]])</f>
      </c>
      <c r="V89" s="149"/>
      <c r="W89" s="143"/>
      <c r="X89" s="151">
        <f>IF(Tabla3[[#This Row], [TIPO DE BIEN O SERVICIO]]="",0,+Tabla3[[#This Row], [MONTO BRUTO]]-Tabla3[[#This Row], [DETRACCION]])</f>
      </c>
      <c r="Y89" s="151">
        <f>+Tabla3[[#This Row], [MONTO NETO A PAGAR]]-Tabla3[[#This Row], [MONTO PAGADO]]</f>
      </c>
      <c r="Z89" s="151">
        <f>IF(Tabla3[[#This Row], [MONTO PAGADO]]=0,"",(+IF(Tabla3[[#This Row], [SALDO POR PAGAR]]=0,"TOTAL","PARCIAL")))</f>
      </c>
    </row>
    <row x14ac:dyDescent="0.25" r="90" customHeight="1" ht="18.75">
      <c r="A90" s="116">
        <v>83</v>
      </c>
      <c r="B90" s="142"/>
      <c r="C90" s="143"/>
      <c r="D90" s="11"/>
      <c r="E90" s="11"/>
      <c r="F90" s="145"/>
      <c r="G90" s="9"/>
      <c r="H90" s="147">
        <f>IFERROR(+VLOOKUP(G90,Tabla1[#All],2,FALSE),"-")</f>
      </c>
      <c r="I90" s="155"/>
      <c r="J90" s="11"/>
      <c r="K90" s="11"/>
      <c r="L90" s="156"/>
      <c r="M90" s="115"/>
      <c r="N90" s="149">
        <f>IF(Tabla3[[#This Row], [NRO. DOI]]="","",(IF(Tabla3[[#This Row], [MONEDA]]="Soles",(+VLOOKUP(G90,Tabla1[#All],3,FALSE)),(+VLOOKUP(G90,Tabla6[#All],3,FALSE)))))</f>
      </c>
      <c r="O90" s="120">
        <f>IF(Tabla3[[#This Row], [NRO. DOI]]="","",(IF(Tabla3[[#This Row], [MONEDA]]="Soles",(+VLOOKUP(G90,Tabla1[#All],4,FALSE)),(+VLOOKUP(G90,Tabla6[#All],4,FALSE)))))</f>
      </c>
      <c r="P90" s="11"/>
      <c r="Q90" s="150"/>
      <c r="R90" s="101"/>
      <c r="S90" s="119">
        <f>+IF(Tabla3[[#This Row], [MONEDA]]="DOLARES",Tabla3[[#This Row], [MONTO BRUTO]]*Tabla3[[#This Row], [TIPO DE CAMBIO]],0)</f>
      </c>
      <c r="T90" s="119"/>
      <c r="U90" s="119">
        <f>IF(Tabla3[[#This Row], [TIPO DE BIEN O SERVICIO]]="",0,+Tabla3[[#This Row], [MONTO BRUTO]]-Tabla3[[#This Row], [DETRACCION]])</f>
      </c>
      <c r="V90" s="149"/>
      <c r="W90" s="143"/>
      <c r="X90" s="151">
        <f>IF(Tabla3[[#This Row], [TIPO DE BIEN O SERVICIO]]="",0,+Tabla3[[#This Row], [MONTO BRUTO]]-Tabla3[[#This Row], [DETRACCION]])</f>
      </c>
      <c r="Y90" s="151">
        <f>+Tabla3[[#This Row], [MONTO NETO A PAGAR]]-Tabla3[[#This Row], [MONTO PAGADO]]</f>
      </c>
      <c r="Z90" s="151">
        <f>IF(Tabla3[[#This Row], [MONTO PAGADO]]=0,"",(+IF(Tabla3[[#This Row], [SALDO POR PAGAR]]=0,"TOTAL","PARCIAL")))</f>
      </c>
    </row>
    <row x14ac:dyDescent="0.25" r="91" customHeight="1" ht="18.75">
      <c r="A91" s="116">
        <v>84</v>
      </c>
      <c r="B91" s="142"/>
      <c r="C91" s="143"/>
      <c r="D91" s="11"/>
      <c r="E91" s="11"/>
      <c r="F91" s="145"/>
      <c r="G91" s="9"/>
      <c r="H91" s="147">
        <f>IFERROR(+VLOOKUP(G91,Tabla1[#All],2,FALSE),"-")</f>
      </c>
      <c r="I91" s="155"/>
      <c r="J91" s="11"/>
      <c r="K91" s="11"/>
      <c r="L91" s="156"/>
      <c r="M91" s="115"/>
      <c r="N91" s="149">
        <f>IF(Tabla3[[#This Row], [NRO. DOI]]="","",(IF(Tabla3[[#This Row], [MONEDA]]="Soles",(+VLOOKUP(G91,Tabla1[#All],3,FALSE)),(+VLOOKUP(G91,Tabla6[#All],3,FALSE)))))</f>
      </c>
      <c r="O91" s="120">
        <f>IF(Tabla3[[#This Row], [NRO. DOI]]="","",(IF(Tabla3[[#This Row], [MONEDA]]="Soles",(+VLOOKUP(G91,Tabla1[#All],4,FALSE)),(+VLOOKUP(G91,Tabla6[#All],4,FALSE)))))</f>
      </c>
      <c r="P91" s="11"/>
      <c r="Q91" s="150"/>
      <c r="R91" s="101"/>
      <c r="S91" s="119">
        <f>+IF(Tabla3[[#This Row], [MONEDA]]="DOLARES",Tabla3[[#This Row], [MONTO BRUTO]]*Tabla3[[#This Row], [TIPO DE CAMBIO]],0)</f>
      </c>
      <c r="T91" s="119"/>
      <c r="U91" s="119">
        <f>IF(Tabla3[[#This Row], [TIPO DE BIEN O SERVICIO]]="",0,+Tabla3[[#This Row], [MONTO BRUTO]]-Tabla3[[#This Row], [DETRACCION]])</f>
      </c>
      <c r="V91" s="149"/>
      <c r="W91" s="143"/>
      <c r="X91" s="151">
        <f>IF(Tabla3[[#This Row], [TIPO DE BIEN O SERVICIO]]="",0,+Tabla3[[#This Row], [MONTO BRUTO]]-Tabla3[[#This Row], [DETRACCION]])</f>
      </c>
      <c r="Y91" s="151">
        <f>+Tabla3[[#This Row], [MONTO NETO A PAGAR]]-Tabla3[[#This Row], [MONTO PAGADO]]</f>
      </c>
      <c r="Z91" s="151">
        <f>IF(Tabla3[[#This Row], [MONTO PAGADO]]=0,"",(+IF(Tabla3[[#This Row], [SALDO POR PAGAR]]=0,"TOTAL","PARCIAL")))</f>
      </c>
    </row>
    <row x14ac:dyDescent="0.25" r="92" customHeight="1" ht="18.75">
      <c r="A92" s="116">
        <v>85</v>
      </c>
      <c r="B92" s="142"/>
      <c r="C92" s="143"/>
      <c r="D92" s="11"/>
      <c r="E92" s="11"/>
      <c r="F92" s="145"/>
      <c r="G92" s="9"/>
      <c r="H92" s="147">
        <f>IFERROR(+VLOOKUP(G92,Tabla1[#All],2,FALSE),"-")</f>
      </c>
      <c r="I92" s="155"/>
      <c r="J92" s="11"/>
      <c r="K92" s="11"/>
      <c r="L92" s="156"/>
      <c r="M92" s="115"/>
      <c r="N92" s="149">
        <f>IF(Tabla3[[#This Row], [NRO. DOI]]="","",(IF(Tabla3[[#This Row], [MONEDA]]="Soles",(+VLOOKUP(G92,Tabla1[#All],3,FALSE)),(+VLOOKUP(G92,Tabla6[#All],3,FALSE)))))</f>
      </c>
      <c r="O92" s="120">
        <f>IF(Tabla3[[#This Row], [NRO. DOI]]="","",(IF(Tabla3[[#This Row], [MONEDA]]="Soles",(+VLOOKUP(G92,Tabla1[#All],4,FALSE)),(+VLOOKUP(G92,Tabla6[#All],4,FALSE)))))</f>
      </c>
      <c r="P92" s="11"/>
      <c r="Q92" s="150"/>
      <c r="R92" s="101"/>
      <c r="S92" s="119">
        <f>+IF(Tabla3[[#This Row], [MONEDA]]="DOLARES",Tabla3[[#This Row], [MONTO BRUTO]]*Tabla3[[#This Row], [TIPO DE CAMBIO]],0)</f>
      </c>
      <c r="T92" s="119"/>
      <c r="U92" s="119">
        <f>IF(Tabla3[[#This Row], [TIPO DE BIEN O SERVICIO]]="",0,+Tabla3[[#This Row], [MONTO BRUTO]]-Tabla3[[#This Row], [DETRACCION]])</f>
      </c>
      <c r="V92" s="149"/>
      <c r="W92" s="143"/>
      <c r="X92" s="151">
        <f>IF(Tabla3[[#This Row], [TIPO DE BIEN O SERVICIO]]="",0,+Tabla3[[#This Row], [MONTO BRUTO]]-Tabla3[[#This Row], [DETRACCION]])</f>
      </c>
      <c r="Y92" s="151">
        <f>+Tabla3[[#This Row], [MONTO NETO A PAGAR]]-Tabla3[[#This Row], [MONTO PAGADO]]</f>
      </c>
      <c r="Z92" s="151">
        <f>IF(Tabla3[[#This Row], [MONTO PAGADO]]=0,"",(+IF(Tabla3[[#This Row], [SALDO POR PAGAR]]=0,"TOTAL","PARCIAL")))</f>
      </c>
    </row>
    <row x14ac:dyDescent="0.25" r="93" customHeight="1" ht="18.75">
      <c r="A93" s="11"/>
      <c r="B93" s="142"/>
      <c r="C93" s="143"/>
      <c r="D93" s="11"/>
      <c r="E93" s="11"/>
      <c r="F93" s="145"/>
      <c r="G93" s="9"/>
      <c r="H93" s="147">
        <f>IFERROR(+VLOOKUP(G93,Tabla1[#All],2,FALSE),"-")</f>
      </c>
      <c r="I93" s="155"/>
      <c r="J93" s="11"/>
      <c r="K93" s="11"/>
      <c r="L93" s="156"/>
      <c r="M93" s="115"/>
      <c r="N93" s="149">
        <f>IF(Tabla3[[#This Row], [NRO. DOI]]="","",(IF(Tabla3[[#This Row], [MONEDA]]="Soles",(+VLOOKUP(G93,Tabla1[#All],3,FALSE)),(+VLOOKUP(G93,Tabla6[#All],3,FALSE)))))</f>
      </c>
      <c r="O93" s="120">
        <f>IF(Tabla3[[#This Row], [NRO. DOI]]="","",(IF(Tabla3[[#This Row], [MONEDA]]="Soles",(+VLOOKUP(G93,Tabla1[#All],4,FALSE)),(+VLOOKUP(G93,Tabla6[#All],4,FALSE)))))</f>
      </c>
      <c r="P93" s="11"/>
      <c r="Q93" s="150"/>
      <c r="R93" s="101"/>
      <c r="S93" s="119">
        <f>+IF(Tabla3[[#This Row], [MONEDA]]="DOLARES",Tabla3[[#This Row], [MONTO BRUTO]]*Tabla3[[#This Row], [TIPO DE CAMBIO]],0)</f>
      </c>
      <c r="T93" s="119"/>
      <c r="U93" s="119">
        <f>IF(Tabla3[[#This Row], [TIPO DE BIEN O SERVICIO]]="",0,+Tabla3[[#This Row], [MONTO BRUTO]]-Tabla3[[#This Row], [DETRACCION]])</f>
      </c>
      <c r="V93" s="149"/>
      <c r="W93" s="143"/>
      <c r="X93" s="151">
        <f>IF(Tabla3[[#This Row], [TIPO DE BIEN O SERVICIO]]="",0,+Tabla3[[#This Row], [MONTO BRUTO]]-Tabla3[[#This Row], [DETRACCION]])</f>
      </c>
      <c r="Y93" s="151">
        <f>+Tabla3[[#This Row], [MONTO NETO A PAGAR]]-Tabla3[[#This Row], [MONTO PAGADO]]</f>
      </c>
      <c r="Z93" s="151">
        <f>IF(Tabla3[[#This Row], [MONTO PAGADO]]=0,"",(+IF(Tabla3[[#This Row], [SALDO POR PAGAR]]=0,"TOTAL","PARCIAL")))</f>
      </c>
    </row>
    <row x14ac:dyDescent="0.25" r="94" customHeight="1" ht="18.75">
      <c r="A94" s="11"/>
      <c r="B94" s="142"/>
      <c r="C94" s="143"/>
      <c r="D94" s="11"/>
      <c r="E94" s="11"/>
      <c r="F94" s="145"/>
      <c r="G94" s="9"/>
      <c r="H94" s="147">
        <f>IFERROR(+VLOOKUP(G94,Tabla1[#All],2,FALSE),"-")</f>
      </c>
      <c r="I94" s="155"/>
      <c r="J94" s="11"/>
      <c r="K94" s="11"/>
      <c r="L94" s="156"/>
      <c r="M94" s="115"/>
      <c r="N94" s="149">
        <f>IF(Tabla3[[#This Row], [NRO. DOI]]="","",(IF(Tabla3[[#This Row], [MONEDA]]="Soles",(+VLOOKUP(G94,Tabla1[#All],3,FALSE)),(+VLOOKUP(G94,Tabla6[#All],3,FALSE)))))</f>
      </c>
      <c r="O94" s="120">
        <f>IF(Tabla3[[#This Row], [NRO. DOI]]="","",(IF(Tabla3[[#This Row], [MONEDA]]="Soles",(+VLOOKUP(G94,Tabla1[#All],4,FALSE)),(+VLOOKUP(G94,Tabla6[#All],4,FALSE)))))</f>
      </c>
      <c r="P94" s="11"/>
      <c r="Q94" s="150"/>
      <c r="R94" s="101"/>
      <c r="S94" s="119">
        <f>+IF(Tabla3[[#This Row], [MONEDA]]="DOLARES",Tabla3[[#This Row], [MONTO BRUTO]]*Tabla3[[#This Row], [TIPO DE CAMBIO]],0)</f>
      </c>
      <c r="T94" s="119"/>
      <c r="U94" s="119">
        <f>IF(Tabla3[[#This Row], [TIPO DE BIEN O SERVICIO]]="",0,+Tabla3[[#This Row], [MONTO BRUTO]]-Tabla3[[#This Row], [DETRACCION]])</f>
      </c>
      <c r="V94" s="149"/>
      <c r="W94" s="143"/>
      <c r="X94" s="151">
        <f>IF(Tabla3[[#This Row], [TIPO DE BIEN O SERVICIO]]="",0,+Tabla3[[#This Row], [MONTO BRUTO]]-Tabla3[[#This Row], [DETRACCION]])</f>
      </c>
      <c r="Y94" s="151">
        <f>+Tabla3[[#This Row], [MONTO NETO A PAGAR]]-Tabla3[[#This Row], [MONTO PAGADO]]</f>
      </c>
      <c r="Z94" s="151">
        <f>IF(Tabla3[[#This Row], [MONTO PAGADO]]=0,"",(+IF(Tabla3[[#This Row], [SALDO POR PAGAR]]=0,"TOTAL","PARCIAL")))</f>
      </c>
    </row>
    <row x14ac:dyDescent="0.25" r="95" customHeight="1" ht="18.75">
      <c r="A95" s="11"/>
      <c r="B95" s="142"/>
      <c r="C95" s="143"/>
      <c r="D95" s="11"/>
      <c r="E95" s="11"/>
      <c r="F95" s="145"/>
      <c r="G95" s="9"/>
      <c r="H95" s="147">
        <f>IFERROR(+VLOOKUP(G95,Tabla1[#All],2,FALSE),"-")</f>
      </c>
      <c r="I95" s="155"/>
      <c r="J95" s="11"/>
      <c r="K95" s="11"/>
      <c r="L95" s="156"/>
      <c r="M95" s="115"/>
      <c r="N95" s="149">
        <f>IF(Tabla3[[#This Row], [NRO. DOI]]="","",(IF(Tabla3[[#This Row], [MONEDA]]="Soles",(+VLOOKUP(G95,Tabla1[#All],3,FALSE)),(+VLOOKUP(G95,Tabla6[#All],3,FALSE)))))</f>
      </c>
      <c r="O95" s="120">
        <f>IF(Tabla3[[#This Row], [NRO. DOI]]="","",(IF(Tabla3[[#This Row], [MONEDA]]="Soles",(+VLOOKUP(G95,Tabla1[#All],4,FALSE)),(+VLOOKUP(G95,Tabla6[#All],4,FALSE)))))</f>
      </c>
      <c r="P95" s="11"/>
      <c r="Q95" s="150"/>
      <c r="R95" s="101"/>
      <c r="S95" s="119">
        <f>+IF(Tabla3[[#This Row], [MONEDA]]="DOLARES",Tabla3[[#This Row], [MONTO BRUTO]]*Tabla3[[#This Row], [TIPO DE CAMBIO]],0)</f>
      </c>
      <c r="T95" s="119"/>
      <c r="U95" s="119">
        <f>IF(Tabla3[[#This Row], [TIPO DE BIEN O SERVICIO]]="",0,+Tabla3[[#This Row], [MONTO BRUTO]]-Tabla3[[#This Row], [DETRACCION]])</f>
      </c>
      <c r="V95" s="149"/>
      <c r="W95" s="143"/>
      <c r="X95" s="151">
        <f>IF(Tabla3[[#This Row], [TIPO DE BIEN O SERVICIO]]="",0,+Tabla3[[#This Row], [MONTO BRUTO]]-Tabla3[[#This Row], [DETRACCION]])</f>
      </c>
      <c r="Y95" s="151">
        <f>+Tabla3[[#This Row], [MONTO NETO A PAGAR]]-Tabla3[[#This Row], [MONTO PAGADO]]</f>
      </c>
      <c r="Z95" s="151">
        <f>IF(Tabla3[[#This Row], [MONTO PAGADO]]=0,"",(+IF(Tabla3[[#This Row], [SALDO POR PAGAR]]=0,"TOTAL","PARCIAL")))</f>
      </c>
    </row>
    <row x14ac:dyDescent="0.25" r="96" customHeight="1" ht="18.75">
      <c r="A96" s="11"/>
      <c r="B96" s="142"/>
      <c r="C96" s="143"/>
      <c r="D96" s="11"/>
      <c r="E96" s="11"/>
      <c r="F96" s="145"/>
      <c r="G96" s="9"/>
      <c r="H96" s="147">
        <f>IFERROR(+VLOOKUP(G96,Tabla1[#All],2,FALSE),"-")</f>
      </c>
      <c r="I96" s="155"/>
      <c r="J96" s="11"/>
      <c r="K96" s="11"/>
      <c r="L96" s="156"/>
      <c r="M96" s="115"/>
      <c r="N96" s="149">
        <f>IF(Tabla3[[#This Row], [NRO. DOI]]="","",(IF(Tabla3[[#This Row], [MONEDA]]="Soles",(+VLOOKUP(G96,Tabla1[#All],3,FALSE)),(+VLOOKUP(G96,Tabla6[#All],3,FALSE)))))</f>
      </c>
      <c r="O96" s="120">
        <f>IF(Tabla3[[#This Row], [NRO. DOI]]="","",(IF(Tabla3[[#This Row], [MONEDA]]="Soles",(+VLOOKUP(G96,Tabla1[#All],4,FALSE)),(+VLOOKUP(G96,Tabla6[#All],4,FALSE)))))</f>
      </c>
      <c r="P96" s="11"/>
      <c r="Q96" s="150"/>
      <c r="R96" s="101"/>
      <c r="S96" s="119">
        <f>+IF(Tabla3[[#This Row], [MONEDA]]="DOLARES",Tabla3[[#This Row], [MONTO BRUTO]]*Tabla3[[#This Row], [TIPO DE CAMBIO]],0)</f>
      </c>
      <c r="T96" s="119"/>
      <c r="U96" s="119">
        <f>IF(Tabla3[[#This Row], [TIPO DE BIEN O SERVICIO]]="",0,+Tabla3[[#This Row], [MONTO BRUTO]]-Tabla3[[#This Row], [DETRACCION]])</f>
      </c>
      <c r="V96" s="149"/>
      <c r="W96" s="143"/>
      <c r="X96" s="151">
        <f>IF(Tabla3[[#This Row], [TIPO DE BIEN O SERVICIO]]="",0,+Tabla3[[#This Row], [MONTO BRUTO]]-Tabla3[[#This Row], [DETRACCION]])</f>
      </c>
      <c r="Y96" s="151">
        <f>+Tabla3[[#This Row], [MONTO NETO A PAGAR]]-Tabla3[[#This Row], [MONTO PAGADO]]</f>
      </c>
      <c r="Z96" s="151">
        <f>IF(Tabla3[[#This Row], [MONTO PAGADO]]=0,"",(+IF(Tabla3[[#This Row], [SALDO POR PAGAR]]=0,"TOTAL","PARCIAL")))</f>
      </c>
    </row>
    <row x14ac:dyDescent="0.25" r="97" customHeight="1" ht="18.75">
      <c r="A97" s="11"/>
      <c r="B97" s="142"/>
      <c r="C97" s="143"/>
      <c r="D97" s="11"/>
      <c r="E97" s="11"/>
      <c r="F97" s="145"/>
      <c r="G97" s="9"/>
      <c r="H97" s="147">
        <f>IFERROR(+VLOOKUP(G97,Tabla1[#All],2,FALSE),"-")</f>
      </c>
      <c r="I97" s="155"/>
      <c r="J97" s="11"/>
      <c r="K97" s="11"/>
      <c r="L97" s="156"/>
      <c r="M97" s="115"/>
      <c r="N97" s="149">
        <f>IF(Tabla3[[#This Row], [NRO. DOI]]="","",(IF(Tabla3[[#This Row], [MONEDA]]="Soles",(+VLOOKUP(G97,Tabla1[#All],3,FALSE)),(+VLOOKUP(G97,Tabla6[#All],3,FALSE)))))</f>
      </c>
      <c r="O97" s="120">
        <f>IF(Tabla3[[#This Row], [NRO. DOI]]="","",(IF(Tabla3[[#This Row], [MONEDA]]="Soles",(+VLOOKUP(G97,Tabla1[#All],4,FALSE)),(+VLOOKUP(G97,Tabla6[#All],4,FALSE)))))</f>
      </c>
      <c r="P97" s="11"/>
      <c r="Q97" s="150"/>
      <c r="R97" s="101"/>
      <c r="S97" s="119">
        <f>+IF(Tabla3[[#This Row], [MONEDA]]="DOLARES",Tabla3[[#This Row], [MONTO BRUTO]]*Tabla3[[#This Row], [TIPO DE CAMBIO]],0)</f>
      </c>
      <c r="T97" s="119"/>
      <c r="U97" s="119">
        <f>IF(Tabla3[[#This Row], [TIPO DE BIEN O SERVICIO]]="",0,+Tabla3[[#This Row], [MONTO BRUTO]]-Tabla3[[#This Row], [DETRACCION]])</f>
      </c>
      <c r="V97" s="149"/>
      <c r="W97" s="143"/>
      <c r="X97" s="151">
        <f>IF(Tabla3[[#This Row], [TIPO DE BIEN O SERVICIO]]="",0,+Tabla3[[#This Row], [MONTO BRUTO]]-Tabla3[[#This Row], [DETRACCION]])</f>
      </c>
      <c r="Y97" s="151">
        <f>+Tabla3[[#This Row], [MONTO NETO A PAGAR]]-Tabla3[[#This Row], [MONTO PAGADO]]</f>
      </c>
      <c r="Z97" s="151">
        <f>IF(Tabla3[[#This Row], [MONTO PAGADO]]=0,"",(+IF(Tabla3[[#This Row], [SALDO POR PAGAR]]=0,"TOTAL","PARCIAL")))</f>
      </c>
    </row>
    <row x14ac:dyDescent="0.25" r="98" customHeight="1" ht="18.75">
      <c r="A98" s="11"/>
      <c r="B98" s="142"/>
      <c r="C98" s="143"/>
      <c r="D98" s="11"/>
      <c r="E98" s="11"/>
      <c r="F98" s="145"/>
      <c r="G98" s="9"/>
      <c r="H98" s="147">
        <f>IFERROR(+VLOOKUP(G98,Tabla1[#All],2,FALSE),"-")</f>
      </c>
      <c r="I98" s="155"/>
      <c r="J98" s="11"/>
      <c r="K98" s="11"/>
      <c r="L98" s="156"/>
      <c r="M98" s="115"/>
      <c r="N98" s="149">
        <f>IF(Tabla3[[#This Row], [NRO. DOI]]="","",(IF(Tabla3[[#This Row], [MONEDA]]="Soles",(+VLOOKUP(G98,Tabla1[#All],3,FALSE)),(+VLOOKUP(G98,Tabla6[#All],3,FALSE)))))</f>
      </c>
      <c r="O98" s="120">
        <f>IF(Tabla3[[#This Row], [NRO. DOI]]="","",(IF(Tabla3[[#This Row], [MONEDA]]="Soles",(+VLOOKUP(G98,Tabla1[#All],4,FALSE)),(+VLOOKUP(G98,Tabla6[#All],4,FALSE)))))</f>
      </c>
      <c r="P98" s="11"/>
      <c r="Q98" s="150"/>
      <c r="R98" s="101"/>
      <c r="S98" s="119">
        <f>+IF(Tabla3[[#This Row], [MONEDA]]="DOLARES",Tabla3[[#This Row], [MONTO BRUTO]]*Tabla3[[#This Row], [TIPO DE CAMBIO]],0)</f>
      </c>
      <c r="T98" s="119"/>
      <c r="U98" s="119">
        <f>IF(Tabla3[[#This Row], [TIPO DE BIEN O SERVICIO]]="",0,+Tabla3[[#This Row], [MONTO BRUTO]]-Tabla3[[#This Row], [DETRACCION]])</f>
      </c>
      <c r="V98" s="149"/>
      <c r="W98" s="143"/>
      <c r="X98" s="151">
        <f>IF(Tabla3[[#This Row], [TIPO DE BIEN O SERVICIO]]="",0,+Tabla3[[#This Row], [MONTO BRUTO]]-Tabla3[[#This Row], [DETRACCION]])</f>
      </c>
      <c r="Y98" s="151">
        <f>+Tabla3[[#This Row], [MONTO NETO A PAGAR]]-Tabla3[[#This Row], [MONTO PAGADO]]</f>
      </c>
      <c r="Z98" s="151">
        <f>IF(Tabla3[[#This Row], [MONTO PAGADO]]=0,"",(+IF(Tabla3[[#This Row], [SALDO POR PAGAR]]=0,"TOTAL","PARCIAL")))</f>
      </c>
    </row>
    <row x14ac:dyDescent="0.25" r="99" customHeight="1" ht="18.75">
      <c r="A99" s="11"/>
      <c r="B99" s="142"/>
      <c r="C99" s="143"/>
      <c r="D99" s="11"/>
      <c r="E99" s="11"/>
      <c r="F99" s="145"/>
      <c r="G99" s="9"/>
      <c r="H99" s="147">
        <f>IFERROR(+VLOOKUP(G99,Tabla1[#All],2,FALSE),"-")</f>
      </c>
      <c r="I99" s="155"/>
      <c r="J99" s="11"/>
      <c r="K99" s="11"/>
      <c r="L99" s="156"/>
      <c r="M99" s="115"/>
      <c r="N99" s="149">
        <f>IF(Tabla3[[#This Row], [NRO. DOI]]="","",(IF(Tabla3[[#This Row], [MONEDA]]="Soles",(+VLOOKUP(G99,Tabla1[#All],3,FALSE)),(+VLOOKUP(G99,Tabla6[#All],3,FALSE)))))</f>
      </c>
      <c r="O99" s="120">
        <f>IF(Tabla3[[#This Row], [NRO. DOI]]="","",(IF(Tabla3[[#This Row], [MONEDA]]="Soles",(+VLOOKUP(G99,Tabla1[#All],4,FALSE)),(+VLOOKUP(G99,Tabla6[#All],4,FALSE)))))</f>
      </c>
      <c r="P99" s="11"/>
      <c r="Q99" s="150"/>
      <c r="R99" s="101"/>
      <c r="S99" s="119">
        <f>+IF(Tabla3[[#This Row], [MONEDA]]="DOLARES",Tabla3[[#This Row], [MONTO BRUTO]]*Tabla3[[#This Row], [TIPO DE CAMBIO]],0)</f>
      </c>
      <c r="T99" s="119"/>
      <c r="U99" s="119">
        <f>IF(Tabla3[[#This Row], [TIPO DE BIEN O SERVICIO]]="",0,+Tabla3[[#This Row], [MONTO BRUTO]]-Tabla3[[#This Row], [DETRACCION]])</f>
      </c>
      <c r="V99" s="149"/>
      <c r="W99" s="143"/>
      <c r="X99" s="151">
        <f>IF(Tabla3[[#This Row], [TIPO DE BIEN O SERVICIO]]="",0,+Tabla3[[#This Row], [MONTO BRUTO]]-Tabla3[[#This Row], [DETRACCION]])</f>
      </c>
      <c r="Y99" s="151">
        <f>+Tabla3[[#This Row], [MONTO NETO A PAGAR]]-Tabla3[[#This Row], [MONTO PAGADO]]</f>
      </c>
      <c r="Z99" s="151">
        <f>IF(Tabla3[[#This Row], [MONTO PAGADO]]=0,"",(+IF(Tabla3[[#This Row], [SALDO POR PAGAR]]=0,"TOTAL","PARCIAL")))</f>
      </c>
    </row>
    <row x14ac:dyDescent="0.25" r="100" customHeight="1" ht="18.75">
      <c r="A100" s="11"/>
      <c r="B100" s="142"/>
      <c r="C100" s="143"/>
      <c r="D100" s="11"/>
      <c r="E100" s="11"/>
      <c r="F100" s="147"/>
      <c r="G100" s="9"/>
      <c r="H100" s="147"/>
      <c r="I100" s="155"/>
      <c r="J100" s="11"/>
      <c r="K100" s="11"/>
      <c r="L100" s="156"/>
      <c r="M100" s="147"/>
      <c r="N100" s="11"/>
      <c r="O100" s="120"/>
      <c r="P100" s="11"/>
      <c r="Q100" s="101"/>
      <c r="R100" s="101"/>
      <c r="S100" s="101"/>
      <c r="T100" s="101"/>
      <c r="U100" s="101"/>
      <c r="V100" s="11"/>
      <c r="W100" s="143"/>
      <c r="X100" s="151"/>
      <c r="Y100" s="151"/>
      <c r="Z100" s="11"/>
    </row>
    <row x14ac:dyDescent="0.25" r="101" customHeight="1" ht="18.75">
      <c r="A101" s="11"/>
      <c r="B101" s="142"/>
      <c r="C101" s="143"/>
      <c r="D101" s="11"/>
      <c r="E101" s="11"/>
      <c r="F101" s="147"/>
      <c r="G101" s="9"/>
      <c r="H101" s="147"/>
      <c r="I101" s="155"/>
      <c r="J101" s="11"/>
      <c r="K101" s="11"/>
      <c r="L101" s="156"/>
      <c r="M101" s="147"/>
      <c r="N101" s="11"/>
      <c r="O101" s="120"/>
      <c r="P101" s="11"/>
      <c r="Q101" s="101"/>
      <c r="R101" s="101"/>
      <c r="S101" s="101"/>
      <c r="T101" s="101"/>
      <c r="U101" s="101"/>
      <c r="V101" s="11"/>
      <c r="W101" s="143"/>
      <c r="X101" s="151"/>
      <c r="Y101" s="151"/>
      <c r="Z101" s="11"/>
    </row>
    <row x14ac:dyDescent="0.25" r="102" customHeight="1" ht="18.75">
      <c r="A102" s="11"/>
      <c r="B102" s="142"/>
      <c r="C102" s="143"/>
      <c r="D102" s="11"/>
      <c r="E102" s="11"/>
      <c r="F102" s="147"/>
      <c r="G102" s="9"/>
      <c r="H102" s="147"/>
      <c r="I102" s="155"/>
      <c r="J102" s="11"/>
      <c r="K102" s="11"/>
      <c r="L102" s="156"/>
      <c r="M102" s="147"/>
      <c r="N102" s="11"/>
      <c r="O102" s="120"/>
      <c r="P102" s="11"/>
      <c r="Q102" s="101"/>
      <c r="R102" s="101"/>
      <c r="S102" s="101"/>
      <c r="T102" s="101"/>
      <c r="U102" s="101"/>
      <c r="V102" s="11"/>
      <c r="W102" s="143"/>
      <c r="X102" s="151"/>
      <c r="Y102" s="151"/>
      <c r="Z102" s="11"/>
    </row>
    <row x14ac:dyDescent="0.25" r="103" customHeight="1" ht="18.75">
      <c r="A103" s="11"/>
      <c r="B103" s="142"/>
      <c r="C103" s="143"/>
      <c r="D103" s="11"/>
      <c r="E103" s="11"/>
      <c r="F103" s="147"/>
      <c r="G103" s="9"/>
      <c r="H103" s="147"/>
      <c r="I103" s="155"/>
      <c r="J103" s="11"/>
      <c r="K103" s="11"/>
      <c r="L103" s="156"/>
      <c r="M103" s="147"/>
      <c r="N103" s="11"/>
      <c r="O103" s="120"/>
      <c r="P103" s="11"/>
      <c r="Q103" s="101"/>
      <c r="R103" s="101"/>
      <c r="S103" s="101"/>
      <c r="T103" s="101"/>
      <c r="U103" s="101"/>
      <c r="V103" s="11"/>
      <c r="W103" s="143"/>
      <c r="X103" s="151"/>
      <c r="Y103" s="151"/>
      <c r="Z103" s="11"/>
    </row>
    <row x14ac:dyDescent="0.25" r="104" customHeight="1" ht="18.75">
      <c r="A104" s="11"/>
      <c r="B104" s="142"/>
      <c r="C104" s="143"/>
      <c r="D104" s="11"/>
      <c r="E104" s="11"/>
      <c r="F104" s="147"/>
      <c r="G104" s="9"/>
      <c r="H104" s="147"/>
      <c r="I104" s="155"/>
      <c r="J104" s="11"/>
      <c r="K104" s="11"/>
      <c r="L104" s="156"/>
      <c r="M104" s="147"/>
      <c r="N104" s="11"/>
      <c r="O104" s="120"/>
      <c r="P104" s="11"/>
      <c r="Q104" s="101"/>
      <c r="R104" s="101"/>
      <c r="S104" s="101"/>
      <c r="T104" s="101"/>
      <c r="U104" s="101"/>
      <c r="V104" s="11"/>
      <c r="W104" s="143"/>
      <c r="X104" s="151"/>
      <c r="Y104" s="151"/>
      <c r="Z104" s="11"/>
    </row>
    <row x14ac:dyDescent="0.25" r="105" customHeight="1" ht="18.75">
      <c r="A105" s="11"/>
      <c r="B105" s="142"/>
      <c r="C105" s="143"/>
      <c r="D105" s="11"/>
      <c r="E105" s="11"/>
      <c r="F105" s="147"/>
      <c r="G105" s="9"/>
      <c r="H105" s="147"/>
      <c r="I105" s="155"/>
      <c r="J105" s="11"/>
      <c r="K105" s="11"/>
      <c r="L105" s="156"/>
      <c r="M105" s="147"/>
      <c r="N105" s="11"/>
      <c r="O105" s="120"/>
      <c r="P105" s="11"/>
      <c r="Q105" s="101"/>
      <c r="R105" s="101"/>
      <c r="S105" s="101"/>
      <c r="T105" s="101"/>
      <c r="U105" s="101"/>
      <c r="V105" s="11"/>
      <c r="W105" s="143"/>
      <c r="X105" s="151"/>
      <c r="Y105" s="151"/>
      <c r="Z105" s="11"/>
    </row>
    <row x14ac:dyDescent="0.25" r="106" customHeight="1" ht="18.75">
      <c r="A106" s="11"/>
      <c r="B106" s="142"/>
      <c r="C106" s="143"/>
      <c r="D106" s="11"/>
      <c r="E106" s="11"/>
      <c r="F106" s="147"/>
      <c r="G106" s="9"/>
      <c r="H106" s="147"/>
      <c r="I106" s="155"/>
      <c r="J106" s="11"/>
      <c r="K106" s="11"/>
      <c r="L106" s="156"/>
      <c r="M106" s="147"/>
      <c r="N106" s="11"/>
      <c r="O106" s="120"/>
      <c r="P106" s="11"/>
      <c r="Q106" s="101"/>
      <c r="R106" s="101"/>
      <c r="S106" s="101"/>
      <c r="T106" s="101"/>
      <c r="U106" s="101"/>
      <c r="V106" s="11"/>
      <c r="W106" s="143"/>
      <c r="X106" s="151"/>
      <c r="Y106" s="151"/>
      <c r="Z106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D53"/>
  <sheetViews>
    <sheetView workbookViewId="0"/>
  </sheetViews>
  <sheetFormatPr defaultRowHeight="15" x14ac:dyDescent="0.25"/>
  <cols>
    <col min="1" max="1" style="83" width="11.43357142857143" customWidth="1" bestFit="1"/>
    <col min="2" max="2" style="86" width="13.576428571428572" customWidth="1" bestFit="1"/>
    <col min="3" max="3" style="5" width="24.862142857142857" customWidth="1" bestFit="1"/>
    <col min="4" max="4" style="86" width="13.576428571428572" customWidth="1" bestFit="1"/>
    <col min="5" max="5" style="5" width="29.576428571428572" customWidth="1" bestFit="1"/>
    <col min="6" max="6" style="5" width="47.14785714285715" customWidth="1" bestFit="1"/>
    <col min="7" max="7" style="104" width="18.005" customWidth="1" bestFit="1"/>
    <col min="8" max="8" style="86" width="13.43357142857143" customWidth="1" bestFit="1"/>
    <col min="9" max="9" style="5" width="18.433571428571426" customWidth="1" bestFit="1"/>
    <col min="10" max="10" style="86" width="14.290714285714287" customWidth="1" bestFit="1"/>
    <col min="11" max="11" style="5" width="53.29071428571429" customWidth="1" bestFit="1"/>
    <col min="12" max="12" style="86" width="13.43357142857143" customWidth="1" bestFit="1"/>
    <col min="13" max="13" style="105" width="34.57642857142857" customWidth="1" bestFit="1"/>
    <col min="14" max="14" style="5" width="19.576428571428572" customWidth="1" bestFit="1"/>
    <col min="15" max="15" style="5" width="13.576428571428572" customWidth="1" bestFit="1"/>
    <col min="16" max="16" style="5" width="13.576428571428572" customWidth="1" bestFit="1"/>
    <col min="17" max="17" style="83" width="13.576428571428572" customWidth="1" bestFit="1"/>
    <col min="18" max="18" style="5" width="10.005" customWidth="1" bestFit="1"/>
    <col min="19" max="19" style="5" width="13.005" customWidth="1" bestFit="1"/>
    <col min="20" max="20" style="5" width="12.862142857142858" customWidth="1" bestFit="1"/>
    <col min="21" max="21" style="5" width="23.005" customWidth="1" bestFit="1"/>
    <col min="22" max="22" style="5" width="39.57642857142857" customWidth="1" bestFit="1"/>
    <col min="23" max="23" style="104" width="16.576428571428572" customWidth="1" bestFit="1"/>
    <col min="24" max="24" style="5" width="13.43357142857143" customWidth="1" bestFit="1"/>
    <col min="25" max="25" style="5" width="15.290714285714287" customWidth="1" bestFit="1"/>
    <col min="26" max="26" style="5" width="18.14785714285714" customWidth="1" bestFit="1"/>
    <col min="27" max="27" style="5" width="98.7192857142857" customWidth="1" bestFit="1"/>
    <col min="28" max="28" style="5" width="16.719285714285714" customWidth="1" bestFit="1"/>
    <col min="29" max="29" style="5" width="35.29071428571429" customWidth="1" bestFit="1"/>
    <col min="30" max="30" style="5" width="19.576428571428572" customWidth="1" bestFit="1"/>
  </cols>
  <sheetData>
    <row x14ac:dyDescent="0.25" r="1" customHeight="1" ht="18.75">
      <c r="A1" s="88" t="s">
        <v>127</v>
      </c>
      <c r="B1" s="10"/>
      <c r="C1" s="1"/>
      <c r="D1" s="10"/>
      <c r="E1" s="1"/>
      <c r="F1" s="1"/>
      <c r="G1" s="101"/>
      <c r="H1" s="10"/>
      <c r="I1" s="1"/>
      <c r="J1" s="10"/>
      <c r="K1" s="1"/>
      <c r="L1" s="10"/>
      <c r="M1" s="90"/>
      <c r="N1" s="1"/>
      <c r="O1" s="1"/>
      <c r="P1" s="1"/>
      <c r="Q1" s="7"/>
      <c r="R1" s="1"/>
      <c r="S1" s="1"/>
      <c r="T1" s="1"/>
      <c r="U1" s="1"/>
      <c r="V1" s="1"/>
      <c r="W1" s="101"/>
      <c r="X1" s="1"/>
      <c r="Y1" s="1"/>
      <c r="Z1" s="1"/>
      <c r="AA1" s="1"/>
      <c r="AB1" s="1"/>
      <c r="AC1" s="1"/>
      <c r="AD1" s="1"/>
    </row>
    <row x14ac:dyDescent="0.25" r="2" customHeight="1" ht="18.75">
      <c r="A2" s="7"/>
      <c r="B2" s="10"/>
      <c r="C2" s="1"/>
      <c r="D2" s="10"/>
      <c r="E2" s="1"/>
      <c r="F2" s="1"/>
      <c r="G2" s="101"/>
      <c r="H2" s="10"/>
      <c r="I2" s="1"/>
      <c r="J2" s="10"/>
      <c r="K2" s="1"/>
      <c r="L2" s="10"/>
      <c r="M2" s="90"/>
      <c r="N2" s="1"/>
      <c r="O2" s="1"/>
      <c r="P2" s="1"/>
      <c r="Q2" s="7"/>
      <c r="R2" s="1"/>
      <c r="S2" s="1"/>
      <c r="T2" s="1"/>
      <c r="U2" s="1"/>
      <c r="V2" s="1"/>
      <c r="W2" s="101"/>
      <c r="X2" s="1"/>
      <c r="Y2" s="1"/>
      <c r="Z2" s="1"/>
      <c r="AA2" s="1"/>
      <c r="AB2" s="1"/>
      <c r="AC2" s="1"/>
      <c r="AD2" s="1"/>
    </row>
    <row x14ac:dyDescent="0.25" r="3" customHeight="1" ht="18.75">
      <c r="A3" s="91" t="s">
        <v>1031</v>
      </c>
      <c r="B3" s="92" t="s">
        <v>1032</v>
      </c>
      <c r="C3" s="92" t="s">
        <v>1033</v>
      </c>
      <c r="D3" s="92" t="s">
        <v>1034</v>
      </c>
      <c r="E3" s="92" t="s">
        <v>1035</v>
      </c>
      <c r="F3" s="92" t="s">
        <v>1036</v>
      </c>
      <c r="G3" s="93" t="s">
        <v>1037</v>
      </c>
      <c r="H3" s="92" t="s">
        <v>1038</v>
      </c>
      <c r="I3" s="92" t="s">
        <v>1039</v>
      </c>
      <c r="J3" s="92" t="s">
        <v>1040</v>
      </c>
      <c r="K3" s="92" t="s">
        <v>1041</v>
      </c>
      <c r="L3" s="92" t="s">
        <v>1042</v>
      </c>
      <c r="M3" s="92" t="s">
        <v>1043</v>
      </c>
      <c r="N3" s="92" t="s">
        <v>1044</v>
      </c>
      <c r="O3" s="1"/>
      <c r="P3" s="1"/>
      <c r="Q3" s="7"/>
      <c r="R3" s="111" t="s">
        <v>1032</v>
      </c>
      <c r="S3" s="111" t="s">
        <v>1033</v>
      </c>
      <c r="T3" s="111" t="s">
        <v>1034</v>
      </c>
      <c r="U3" s="111" t="s">
        <v>1035</v>
      </c>
      <c r="V3" s="111" t="s">
        <v>1036</v>
      </c>
      <c r="W3" s="112" t="s">
        <v>1037</v>
      </c>
      <c r="X3" s="111" t="s">
        <v>1038</v>
      </c>
      <c r="Y3" s="111" t="s">
        <v>1039</v>
      </c>
      <c r="Z3" s="111" t="s">
        <v>1040</v>
      </c>
      <c r="AA3" s="111" t="s">
        <v>1041</v>
      </c>
      <c r="AB3" s="111" t="s">
        <v>1042</v>
      </c>
      <c r="AC3" s="111" t="s">
        <v>1043</v>
      </c>
      <c r="AD3" s="111" t="s">
        <v>1044</v>
      </c>
    </row>
    <row x14ac:dyDescent="0.25" r="4" customHeight="1" ht="18.75">
      <c r="A4" s="33">
        <f>+BD!AA5</f>
      </c>
      <c r="B4" s="94">
        <f>IF(A4=0,"",VLOOKUP(+VLOOKUP(A4,Tabla3[],'Registro de Operaciones'!$F$6,FALSE),DOI_Tipo,2,FALSE))</f>
      </c>
      <c r="C4" s="95">
        <f>IF(A4=0,"",+VLOOKUP(A4,Tabla3[#All],'Registro de Operaciones'!$G$6,FALSE))</f>
      </c>
      <c r="D4" s="96">
        <f>IF(A4=0,"",VLOOKUP(+VLOOKUP(A4,Tabla3[],'Registro de Operaciones'!$N$6,FALSE),Tipo_Abono,2,FALSE))</f>
      </c>
      <c r="E4" s="95">
        <f>IF(A4=0,"",+VLOOKUP(A4,Tabla3[],'Registro de Operaciones'!$O$6,FALSE))</f>
      </c>
      <c r="F4" s="95">
        <f>IF(A4=0,"",+VLOOKUP(A4,Tabla3[],'Registro de Operaciones'!$H$6,FALSE))</f>
      </c>
      <c r="G4" s="97">
        <f>IF(A4=0,"",ROUND(+VLOOKUP(A4,Tabla3[],'Registro de Operaciones'!$X$6,FALSE),2))</f>
      </c>
      <c r="H4" s="96">
        <f>IF(A4=0,"",VLOOKUP(+VLOOKUP(A4,Tabla3[],'Registro de Operaciones'!$I$6,FALSE),Tipo_Recibo,2,FALSE))</f>
      </c>
      <c r="I4" s="95">
        <f>IF(A4=0,"",+VLOOKUP(A4,Tabla3[],'Registro de Operaciones'!$J$6,FALSE))</f>
      </c>
      <c r="J4" s="96">
        <f>+IF(A4&gt;0,"N","")</f>
      </c>
      <c r="K4" s="95">
        <f>IF(A4=0,"",+VLOOKUP(A4,Tabla3[],'Registro de Operaciones'!$L$6,FALSE))</f>
      </c>
      <c r="L4" s="96">
        <f>+IF(A4&gt;0,"E","")</f>
      </c>
      <c r="M4" s="98">
        <f>IF(A4=0,"",+VLOOKUP(A4,Tabla3[],'Registro de Operaciones'!$E$6,FALSE))</f>
      </c>
      <c r="N4" s="95">
        <f>+IF(A4&gt;0,"Nayrut Flores","")</f>
      </c>
      <c r="O4" s="1"/>
      <c r="P4" s="1"/>
      <c r="Q4" s="33">
        <f>+LEN(U4)</f>
      </c>
      <c r="R4" s="1" t="s">
        <v>150</v>
      </c>
      <c r="S4" s="1" t="s">
        <v>985</v>
      </c>
      <c r="T4" s="1" t="s">
        <v>169</v>
      </c>
      <c r="U4" s="1" t="s">
        <v>987</v>
      </c>
      <c r="V4" s="1" t="s">
        <v>986</v>
      </c>
      <c r="W4" s="89">
        <v>5794.4</v>
      </c>
      <c r="X4" s="1" t="s">
        <v>217</v>
      </c>
      <c r="Y4" s="1" t="s">
        <v>1061</v>
      </c>
      <c r="Z4" s="1" t="s">
        <v>241</v>
      </c>
      <c r="AA4" s="1" t="s">
        <v>1062</v>
      </c>
      <c r="AB4" s="1" t="s">
        <v>162</v>
      </c>
      <c r="AC4" s="1" t="s">
        <v>1047</v>
      </c>
      <c r="AD4" s="1" t="s">
        <v>1048</v>
      </c>
    </row>
    <row x14ac:dyDescent="0.25" r="5" customHeight="1" ht="18.75">
      <c r="A5" s="33">
        <f>+BD!AA6</f>
      </c>
      <c r="B5" s="94">
        <f>IF(A5=0,"",VLOOKUP(+VLOOKUP(A5,Tabla3[],'Registro de Operaciones'!$F$6,FALSE),DOI_Tipo,2,FALSE))</f>
      </c>
      <c r="C5" s="95">
        <f>IF(A5=0,"",+VLOOKUP(A5,Tabla3[#All],'Registro de Operaciones'!$G$6,FALSE))</f>
      </c>
      <c r="D5" s="96">
        <f>IF(A5=0,"",VLOOKUP(+VLOOKUP(A5,Tabla3[],'Registro de Operaciones'!$N$6,FALSE),Tipo_Abono,2,FALSE))</f>
      </c>
      <c r="E5" s="95">
        <f>IF(A5=0,"",+VLOOKUP(A5,Tabla3[],'Registro de Operaciones'!$O$6,FALSE))</f>
      </c>
      <c r="F5" s="95">
        <f>IF(A5=0,"",+VLOOKUP(A5,Tabla3[],'Registro de Operaciones'!$H$6,FALSE))</f>
      </c>
      <c r="G5" s="97">
        <f>IF(A5=0,"",ROUND(+VLOOKUP(A5,Tabla3[],'Registro de Operaciones'!$X$6,FALSE),2))</f>
      </c>
      <c r="H5" s="96">
        <f>IF(A5=0,"",VLOOKUP(+VLOOKUP(A5,Tabla3[],'Registro de Operaciones'!$I$6,FALSE),Tipo_Recibo,2,FALSE))</f>
      </c>
      <c r="I5" s="95">
        <f>IF(A5=0,"",+VLOOKUP(A5,Tabla3[],'Registro de Operaciones'!$J$6,FALSE))</f>
      </c>
      <c r="J5" s="96">
        <f>+IF(A5&gt;0,"N","")</f>
      </c>
      <c r="K5" s="95">
        <f>IF(A5=0,"",+VLOOKUP(A5,Tabla3[],'Registro de Operaciones'!$L$6,FALSE))</f>
      </c>
      <c r="L5" s="96">
        <f>+IF(A5&gt;0,"E","")</f>
      </c>
      <c r="M5" s="98">
        <f>IF(A5=0,"",+VLOOKUP(A5,Tabla3[],'Registro de Operaciones'!$E$6,FALSE))</f>
      </c>
      <c r="N5" s="95">
        <f>+IF(A5&gt;0,"Nayrut Flores","")</f>
      </c>
      <c r="O5" s="1"/>
      <c r="P5" s="1"/>
      <c r="Q5" s="33">
        <f>+LEN(U5)</f>
      </c>
      <c r="R5" s="1" t="s">
        <v>150</v>
      </c>
      <c r="S5" s="1" t="s">
        <v>170</v>
      </c>
      <c r="T5" s="1" t="s">
        <v>169</v>
      </c>
      <c r="U5" s="1" t="s">
        <v>172</v>
      </c>
      <c r="V5" s="1" t="s">
        <v>171</v>
      </c>
      <c r="W5" s="89">
        <v>20643.4</v>
      </c>
      <c r="X5" s="1" t="s">
        <v>229</v>
      </c>
      <c r="Y5" s="1" t="s">
        <v>1063</v>
      </c>
      <c r="Z5" s="1" t="s">
        <v>241</v>
      </c>
      <c r="AA5" s="1" t="s">
        <v>1064</v>
      </c>
      <c r="AB5" s="1" t="s">
        <v>162</v>
      </c>
      <c r="AC5" s="1" t="s">
        <v>1047</v>
      </c>
      <c r="AD5" s="1" t="s">
        <v>1048</v>
      </c>
    </row>
    <row x14ac:dyDescent="0.25" r="6" customHeight="1" ht="18.75">
      <c r="A6" s="33">
        <f>+BD!AA7</f>
      </c>
      <c r="B6" s="94">
        <f>IF(A6=0,"",VLOOKUP(+VLOOKUP(A6,Tabla3[],'Registro de Operaciones'!$F$6,FALSE),DOI_Tipo,2,FALSE))</f>
      </c>
      <c r="C6" s="95">
        <f>IF(A6=0,"",+VLOOKUP(A6,Tabla3[#All],'Registro de Operaciones'!$G$6,FALSE))</f>
      </c>
      <c r="D6" s="99">
        <f>IF(A6=0,"",VLOOKUP(+VLOOKUP(A6,Tabla3[],'Registro de Operaciones'!$N$6,FALSE),Tipo_Abono,2,FALSE))</f>
        <v>25568.791666666668</v>
      </c>
      <c r="E6" s="95">
        <f>IF(A6=0,"",+VLOOKUP(A6,Tabla3[],'Registro de Operaciones'!$O$6,FALSE))</f>
      </c>
      <c r="F6" s="95">
        <f>IF(A6=0,"",+VLOOKUP(A6,Tabla3[],'Registro de Operaciones'!$H$6,FALSE))</f>
      </c>
      <c r="G6" s="97">
        <f>IF(A6=0,"",ROUND(+VLOOKUP(A6,Tabla3[],'Registro de Operaciones'!$X$6,FALSE),2))</f>
      </c>
      <c r="H6" s="96">
        <f>IF(A6=0,"",VLOOKUP(+VLOOKUP(A6,Tabla3[],'Registro de Operaciones'!$I$6,FALSE),Tipo_Recibo,2,FALSE))</f>
      </c>
      <c r="I6" s="95">
        <f>IF(A6=0,"",+VLOOKUP(A6,Tabla3[],'Registro de Operaciones'!$J$6,FALSE))</f>
      </c>
      <c r="J6" s="96">
        <f>+IF(A6&gt;0,"N","")</f>
      </c>
      <c r="K6" s="95">
        <f>IF(A6=0,"",+VLOOKUP(A6,Tabla3[],'Registro de Operaciones'!$L$6,FALSE))</f>
      </c>
      <c r="L6" s="96">
        <f>+IF(A6&gt;0,"E","")</f>
      </c>
      <c r="M6" s="100">
        <f>IF(A6=0,"",+VLOOKUP(A6,Tabla3[],'Registro de Operaciones'!$E$6,FALSE))</f>
      </c>
      <c r="N6" s="95">
        <f>+IF(A6&gt;0,"Nayrut Flores","")</f>
      </c>
      <c r="O6" s="1"/>
      <c r="P6" s="1"/>
      <c r="Q6" s="33">
        <f>+LEN(U6)</f>
      </c>
      <c r="R6" s="1"/>
      <c r="S6" s="1"/>
      <c r="T6" s="1"/>
      <c r="U6" s="1"/>
      <c r="V6" s="1"/>
      <c r="W6" s="89"/>
      <c r="X6" s="1"/>
      <c r="Y6" s="1"/>
      <c r="Z6" s="1"/>
      <c r="AA6" s="1"/>
      <c r="AB6" s="1"/>
      <c r="AC6" s="1"/>
      <c r="AD6" s="1"/>
    </row>
    <row x14ac:dyDescent="0.25" r="7" customHeight="1" ht="18.75">
      <c r="A7" s="33">
        <f>+BD!AA8</f>
      </c>
      <c r="B7" s="94">
        <f>IF(A7=0,"",VLOOKUP(+VLOOKUP(A7,Tabla3[],'Registro de Operaciones'!$F$6,FALSE),DOI_Tipo,2,FALSE))</f>
      </c>
      <c r="C7" s="95">
        <f>IF(A7=0,"",+VLOOKUP(A7,Tabla3[#All],'Registro de Operaciones'!$G$6,FALSE))</f>
      </c>
      <c r="D7" s="99">
        <f>IF(A7=0,"",VLOOKUP(+VLOOKUP(A7,Tabla3[],'Registro de Operaciones'!$N$6,FALSE),Tipo_Abono,2,FALSE))</f>
        <v>25568.791666666668</v>
      </c>
      <c r="E7" s="95">
        <f>IF(A7=0,"",+VLOOKUP(A7,Tabla3[],'Registro de Operaciones'!$O$6,FALSE))</f>
      </c>
      <c r="F7" s="95">
        <f>IF(A7=0,"",+VLOOKUP(A7,Tabla3[],'Registro de Operaciones'!$H$6,FALSE))</f>
      </c>
      <c r="G7" s="97">
        <f>IF(A7=0,"",ROUND(+VLOOKUP(A7,Tabla3[],'Registro de Operaciones'!$X$6,FALSE),2))</f>
      </c>
      <c r="H7" s="96">
        <f>IF(A7=0,"",VLOOKUP(+VLOOKUP(A7,Tabla3[],'Registro de Operaciones'!$I$6,FALSE),Tipo_Recibo,2,FALSE))</f>
      </c>
      <c r="I7" s="95">
        <f>IF(A7=0,"",+VLOOKUP(A7,Tabla3[],'Registro de Operaciones'!$J$6,FALSE))</f>
      </c>
      <c r="J7" s="96">
        <f>+IF(A7&gt;0,"N","")</f>
      </c>
      <c r="K7" s="95">
        <f>IF(A7=0,"",+VLOOKUP(A7,Tabla3[],'Registro de Operaciones'!$L$6,FALSE))</f>
      </c>
      <c r="L7" s="96">
        <f>+IF(A7&gt;0,"E","")</f>
      </c>
      <c r="M7" s="100">
        <f>IF(A7=0,"",+VLOOKUP(A7,Tabla3[],'Registro de Operaciones'!$E$6,FALSE))</f>
      </c>
      <c r="N7" s="95">
        <f>+IF(A7&gt;0,"Nayrut Flores","")</f>
      </c>
      <c r="O7" s="1"/>
      <c r="P7" s="1"/>
      <c r="Q7" s="33">
        <f>+LEN(U7)</f>
      </c>
      <c r="R7" s="1"/>
      <c r="S7" s="1"/>
      <c r="T7" s="1"/>
      <c r="U7" s="1"/>
      <c r="V7" s="1"/>
      <c r="W7" s="89"/>
      <c r="X7" s="1"/>
      <c r="Y7" s="1"/>
      <c r="Z7" s="1"/>
      <c r="AA7" s="1"/>
      <c r="AB7" s="1"/>
      <c r="AC7" s="1"/>
      <c r="AD7" s="1"/>
    </row>
    <row x14ac:dyDescent="0.25" r="8" customHeight="1" ht="18.75">
      <c r="A8" s="33">
        <f>+BD!AA9</f>
      </c>
      <c r="B8" s="94">
        <f>IF(A8=0,"",VLOOKUP(+VLOOKUP(A8,Tabla3[],'Registro de Operaciones'!$F$6,FALSE),DOI_Tipo,2,FALSE))</f>
      </c>
      <c r="C8" s="95">
        <f>IF(A8=0,"",+VLOOKUP(A8,Tabla3[#All],'Registro de Operaciones'!$G$6,FALSE))</f>
      </c>
      <c r="D8" s="99">
        <f>IF(A8=0,"",VLOOKUP(+VLOOKUP(A8,Tabla3[],'Registro de Operaciones'!$N$6,FALSE),Tipo_Abono,2,FALSE))</f>
        <v>25568.791666666668</v>
      </c>
      <c r="E8" s="95">
        <f>IF(A8=0,"",+VLOOKUP(A8,Tabla3[],'Registro de Operaciones'!$O$6,FALSE))</f>
      </c>
      <c r="F8" s="95">
        <f>IF(A8=0,"",+VLOOKUP(A8,Tabla3[],'Registro de Operaciones'!$H$6,FALSE))</f>
      </c>
      <c r="G8" s="97">
        <f>IF(A8=0,"",ROUND(+VLOOKUP(A8,Tabla3[],'Registro de Operaciones'!$X$6,FALSE),2))</f>
      </c>
      <c r="H8" s="96">
        <f>IF(A8=0,"",VLOOKUP(+VLOOKUP(A8,Tabla3[],'Registro de Operaciones'!$I$6,FALSE),Tipo_Recibo,2,FALSE))</f>
      </c>
      <c r="I8" s="95">
        <f>IF(A8=0,"",+VLOOKUP(A8,Tabla3[],'Registro de Operaciones'!$J$6,FALSE))</f>
      </c>
      <c r="J8" s="96">
        <f>+IF(A8&gt;0,"N","")</f>
      </c>
      <c r="K8" s="95">
        <f>IF(A8=0,"",+VLOOKUP(A8,Tabla3[],'Registro de Operaciones'!$L$6,FALSE))</f>
      </c>
      <c r="L8" s="96">
        <f>+IF(A8&gt;0,"E","")</f>
      </c>
      <c r="M8" s="100">
        <f>IF(A8=0,"",+VLOOKUP(A8,Tabla3[],'Registro de Operaciones'!$E$6,FALSE))</f>
      </c>
      <c r="N8" s="95">
        <f>+IF(A8&gt;0,"Nayrut Flores","")</f>
      </c>
      <c r="O8" s="1"/>
      <c r="P8" s="1"/>
      <c r="Q8" s="33">
        <f>+LEN(U8)</f>
      </c>
      <c r="R8" s="1"/>
      <c r="S8" s="1"/>
      <c r="T8" s="1"/>
      <c r="U8" s="1"/>
      <c r="V8" s="1"/>
      <c r="W8" s="89"/>
      <c r="X8" s="1"/>
      <c r="Y8" s="1"/>
      <c r="Z8" s="1"/>
      <c r="AA8" s="1"/>
      <c r="AB8" s="1"/>
      <c r="AC8" s="1"/>
      <c r="AD8" s="1"/>
    </row>
    <row x14ac:dyDescent="0.25" r="9" customHeight="1" ht="18.75">
      <c r="A9" s="33">
        <f>+BD!AA10</f>
      </c>
      <c r="B9" s="94">
        <f>IF(A9=0,"",VLOOKUP(+VLOOKUP(A9,Tabla3[],'Registro de Operaciones'!$F$6,FALSE),DOI_Tipo,2,FALSE))</f>
      </c>
      <c r="C9" s="95">
        <f>IF(A9=0,"",+VLOOKUP(A9,Tabla3[#All],'Registro de Operaciones'!$G$6,FALSE))</f>
      </c>
      <c r="D9" s="99">
        <f>IF(A9=0,"",VLOOKUP(+VLOOKUP(A9,Tabla3[],'Registro de Operaciones'!$N$6,FALSE),Tipo_Abono,2,FALSE))</f>
        <v>25568.791666666668</v>
      </c>
      <c r="E9" s="95">
        <f>IF(A9=0,"",+VLOOKUP(A9,Tabla3[],'Registro de Operaciones'!$O$6,FALSE))</f>
      </c>
      <c r="F9" s="95">
        <f>IF(A9=0,"",+VLOOKUP(A9,Tabla3[],'Registro de Operaciones'!$H$6,FALSE))</f>
      </c>
      <c r="G9" s="97">
        <f>IF(A9=0,"",ROUND(+VLOOKUP(A9,Tabla3[],'Registro de Operaciones'!$X$6,FALSE),2))</f>
      </c>
      <c r="H9" s="96">
        <f>IF(A9=0,"",VLOOKUP(+VLOOKUP(A9,Tabla3[],'Registro de Operaciones'!$I$6,FALSE),Tipo_Recibo,2,FALSE))</f>
      </c>
      <c r="I9" s="95">
        <f>IF(A9=0,"",+VLOOKUP(A9,Tabla3[],'Registro de Operaciones'!$J$6,FALSE))</f>
      </c>
      <c r="J9" s="96">
        <f>+IF(A9&gt;0,"N","")</f>
      </c>
      <c r="K9" s="95">
        <f>IF(A9=0,"",+VLOOKUP(A9,Tabla3[],'Registro de Operaciones'!$L$6,FALSE))</f>
      </c>
      <c r="L9" s="96">
        <f>+IF(A9&gt;0,"E","")</f>
      </c>
      <c r="M9" s="100">
        <f>IF(A9=0,"",+VLOOKUP(A9,Tabla3[],'Registro de Operaciones'!$E$6,FALSE))</f>
      </c>
      <c r="N9" s="95">
        <f>+IF(A9&gt;0,"Nayrut Flores","")</f>
      </c>
      <c r="O9" s="1"/>
      <c r="P9" s="1"/>
      <c r="Q9" s="33">
        <f>+LEN(U9)</f>
      </c>
      <c r="R9" s="1"/>
      <c r="S9" s="1"/>
      <c r="T9" s="1"/>
      <c r="U9" s="1"/>
      <c r="V9" s="1"/>
      <c r="W9" s="89"/>
      <c r="X9" s="1"/>
      <c r="Y9" s="1"/>
      <c r="Z9" s="1"/>
      <c r="AA9" s="1"/>
      <c r="AB9" s="1"/>
      <c r="AC9" s="1"/>
      <c r="AD9" s="1"/>
    </row>
    <row x14ac:dyDescent="0.25" r="10" customHeight="1" ht="18.75">
      <c r="A10" s="33">
        <f>+BD!AA11</f>
      </c>
      <c r="B10" s="94">
        <f>IF(A10=0,"",VLOOKUP(+VLOOKUP(A10,Tabla3[],'Registro de Operaciones'!$F$6,FALSE),DOI_Tipo,2,FALSE))</f>
      </c>
      <c r="C10" s="95">
        <f>IF(A10=0,"",+VLOOKUP(A10,Tabla3[#All],'Registro de Operaciones'!$G$6,FALSE))</f>
      </c>
      <c r="D10" s="99">
        <f>IF(A10=0,"",VLOOKUP(+VLOOKUP(A10,Tabla3[],'Registro de Operaciones'!$N$6,FALSE),Tipo_Abono,2,FALSE))</f>
        <v>25568.791666666668</v>
      </c>
      <c r="E10" s="95">
        <f>IF(A10=0,"",+VLOOKUP(A10,Tabla3[],'Registro de Operaciones'!$O$6,FALSE))</f>
      </c>
      <c r="F10" s="95">
        <f>IF(A10=0,"",+VLOOKUP(A10,Tabla3[],'Registro de Operaciones'!$H$6,FALSE))</f>
      </c>
      <c r="G10" s="97">
        <f>IF(A10=0,"",ROUND(+VLOOKUP(A10,Tabla3[],'Registro de Operaciones'!$X$6,FALSE),2))</f>
      </c>
      <c r="H10" s="96">
        <f>IF(A10=0,"",VLOOKUP(+VLOOKUP(A10,Tabla3[],'Registro de Operaciones'!$I$6,FALSE),Tipo_Recibo,2,FALSE))</f>
      </c>
      <c r="I10" s="95">
        <f>IF(A10=0,"",+VLOOKUP(A10,Tabla3[],'Registro de Operaciones'!$J$6,FALSE))</f>
      </c>
      <c r="J10" s="96">
        <f>+IF(A10&gt;0,"N","")</f>
      </c>
      <c r="K10" s="95">
        <f>IF(A10=0,"",+VLOOKUP(A10,Tabla3[],'Registro de Operaciones'!$L$6,FALSE))</f>
      </c>
      <c r="L10" s="96">
        <f>+IF(A10&gt;0,"E","")</f>
      </c>
      <c r="M10" s="100">
        <f>IF(A10=0,"",+VLOOKUP(A10,Tabla3[],'Registro de Operaciones'!$E$6,FALSE))</f>
      </c>
      <c r="N10" s="95">
        <f>+IF(A10&gt;0,"Nayrut Flores","")</f>
      </c>
      <c r="O10" s="1"/>
      <c r="P10" s="1"/>
      <c r="Q10" s="33">
        <f>+LEN(U10)</f>
      </c>
      <c r="R10" s="1"/>
      <c r="S10" s="1"/>
      <c r="T10" s="1"/>
      <c r="U10" s="1"/>
      <c r="V10" s="1"/>
      <c r="W10" s="101"/>
      <c r="X10" s="1"/>
      <c r="Y10" s="1"/>
      <c r="Z10" s="1"/>
      <c r="AA10" s="1"/>
      <c r="AB10" s="1"/>
      <c r="AC10" s="1"/>
      <c r="AD10" s="1"/>
    </row>
    <row x14ac:dyDescent="0.25" r="11" customHeight="1" ht="18.75">
      <c r="A11" s="33">
        <f>+BD!AA12</f>
      </c>
      <c r="B11" s="94">
        <f>IF(A11=0,"",VLOOKUP(+VLOOKUP(A11,Tabla3[],'Registro de Operaciones'!$F$6,FALSE),DOI_Tipo,2,FALSE))</f>
      </c>
      <c r="C11" s="95">
        <f>IF(A11=0,"",+VLOOKUP(A11,Tabla3[#All],'Registro de Operaciones'!$G$6,FALSE))</f>
      </c>
      <c r="D11" s="99">
        <f>IF(A11=0,"",VLOOKUP(+VLOOKUP(A11,Tabla3[],'Registro de Operaciones'!$N$6,FALSE),Tipo_Abono,2,FALSE))</f>
        <v>25568.791666666668</v>
      </c>
      <c r="E11" s="95">
        <f>IF(A11=0,"",+VLOOKUP(A11,Tabla3[],'Registro de Operaciones'!$O$6,FALSE))</f>
      </c>
      <c r="F11" s="95">
        <f>IF(A11=0,"",+VLOOKUP(A11,Tabla3[],'Registro de Operaciones'!$H$6,FALSE))</f>
      </c>
      <c r="G11" s="97">
        <f>IF(A11=0,"",ROUND(+VLOOKUP(A11,Tabla3[],'Registro de Operaciones'!$X$6,FALSE),2))</f>
      </c>
      <c r="H11" s="96">
        <f>IF(A11=0,"",VLOOKUP(+VLOOKUP(A11,Tabla3[],'Registro de Operaciones'!$I$6,FALSE),Tipo_Recibo,2,FALSE))</f>
      </c>
      <c r="I11" s="95">
        <f>IF(A11=0,"",+VLOOKUP(A11,Tabla3[],'Registro de Operaciones'!$J$6,FALSE))</f>
      </c>
      <c r="J11" s="96">
        <f>+IF(A11&gt;0,"N","")</f>
      </c>
      <c r="K11" s="95">
        <f>IF(A11=0,"",+VLOOKUP(A11,Tabla3[],'Registro de Operaciones'!$L$6,FALSE))</f>
      </c>
      <c r="L11" s="96">
        <f>+IF(A11&gt;0,"E","")</f>
      </c>
      <c r="M11" s="100">
        <f>IF(A11=0,"",+VLOOKUP(A11,Tabla3[],'Registro de Operaciones'!$E$6,FALSE))</f>
      </c>
      <c r="N11" s="95">
        <f>+IF(A11&gt;0,"Nayrut Flores","")</f>
      </c>
      <c r="O11" s="1"/>
      <c r="P11" s="1"/>
      <c r="Q11" s="33">
        <f>+LEN(U11)</f>
      </c>
      <c r="R11" s="1"/>
      <c r="S11" s="1"/>
      <c r="T11" s="1"/>
      <c r="U11" s="1"/>
      <c r="V11" s="1"/>
      <c r="W11" s="101"/>
      <c r="X11" s="1"/>
      <c r="Y11" s="1"/>
      <c r="Z11" s="1"/>
      <c r="AA11" s="1"/>
      <c r="AB11" s="1"/>
      <c r="AC11" s="1"/>
      <c r="AD11" s="1"/>
    </row>
    <row x14ac:dyDescent="0.25" r="12" customHeight="1" ht="18.75">
      <c r="A12" s="33">
        <f>+BD!AA13</f>
      </c>
      <c r="B12" s="94">
        <f>IF(A12=0,"",VLOOKUP(+VLOOKUP(A12,Tabla3[],'Registro de Operaciones'!$F$6,FALSE),DOI_Tipo,2,FALSE))</f>
      </c>
      <c r="C12" s="95">
        <f>IF(A12=0,"",+VLOOKUP(A12,Tabla3[#All],'Registro de Operaciones'!$G$6,FALSE))</f>
      </c>
      <c r="D12" s="99">
        <f>IF(A12=0,"",VLOOKUP(+VLOOKUP(A12,Tabla3[],'Registro de Operaciones'!$N$6,FALSE),Tipo_Abono,2,FALSE))</f>
        <v>25568.791666666668</v>
      </c>
      <c r="E12" s="95">
        <f>IF(A12=0,"",+VLOOKUP(A12,Tabla3[],'Registro de Operaciones'!$O$6,FALSE))</f>
      </c>
      <c r="F12" s="95">
        <f>IF(A12=0,"",+VLOOKUP(A12,Tabla3[],'Registro de Operaciones'!$H$6,FALSE))</f>
      </c>
      <c r="G12" s="97">
        <f>IF(A12=0,"",ROUND(+VLOOKUP(A12,Tabla3[],'Registro de Operaciones'!$X$6,FALSE),2))</f>
      </c>
      <c r="H12" s="96">
        <f>IF(A12=0,"",VLOOKUP(+VLOOKUP(A12,Tabla3[],'Registro de Operaciones'!$I$6,FALSE),Tipo_Recibo,2,FALSE))</f>
      </c>
      <c r="I12" s="95">
        <f>IF(A12=0,"",+VLOOKUP(A12,Tabla3[],'Registro de Operaciones'!$J$6,FALSE))</f>
      </c>
      <c r="J12" s="96">
        <f>+IF(A12&gt;0,"N","")</f>
      </c>
      <c r="K12" s="95">
        <f>IF(A12=0,"",+VLOOKUP(A12,Tabla3[],'Registro de Operaciones'!$L$6,FALSE))</f>
      </c>
      <c r="L12" s="96">
        <f>+IF(A12&gt;0,"E","")</f>
      </c>
      <c r="M12" s="100">
        <f>IF(A12=0,"",+VLOOKUP(A12,Tabla3[],'Registro de Operaciones'!$E$6,FALSE))</f>
      </c>
      <c r="N12" s="95">
        <f>+IF(A12&gt;0,"Nayrut Flores","")</f>
      </c>
      <c r="O12" s="1"/>
      <c r="P12" s="1"/>
      <c r="Q12" s="33">
        <f>+LEN(U12)</f>
      </c>
      <c r="R12" s="1"/>
      <c r="S12" s="1"/>
      <c r="T12" s="1"/>
      <c r="U12" s="1"/>
      <c r="V12" s="1"/>
      <c r="W12" s="101"/>
      <c r="X12" s="1"/>
      <c r="Y12" s="1"/>
      <c r="Z12" s="1"/>
      <c r="AA12" s="1"/>
      <c r="AB12" s="1"/>
      <c r="AC12" s="1"/>
      <c r="AD12" s="1"/>
    </row>
    <row x14ac:dyDescent="0.25" r="13" customHeight="1" ht="18.75">
      <c r="A13" s="33">
        <f>+BD!AA14</f>
      </c>
      <c r="B13" s="94">
        <f>IF(A13=0,"",VLOOKUP(+VLOOKUP(A13,Tabla3[],'Registro de Operaciones'!$F$6,FALSE),DOI_Tipo,2,FALSE))</f>
      </c>
      <c r="C13" s="95">
        <f>IF(A13=0,"",+VLOOKUP(A13,Tabla3[#All],'Registro de Operaciones'!$G$6,FALSE))</f>
      </c>
      <c r="D13" s="99">
        <f>IF(A13=0,"",VLOOKUP(+VLOOKUP(A13,Tabla3[],'Registro de Operaciones'!$N$6,FALSE),Tipo_Abono,2,FALSE))</f>
        <v>25568.791666666668</v>
      </c>
      <c r="E13" s="95">
        <f>IF(A13=0,"",+VLOOKUP(A13,Tabla3[],'Registro de Operaciones'!$O$6,FALSE))</f>
      </c>
      <c r="F13" s="95">
        <f>IF(A13=0,"",+VLOOKUP(A13,Tabla3[],'Registro de Operaciones'!$H$6,FALSE))</f>
      </c>
      <c r="G13" s="97">
        <f>IF(A13=0,"",ROUND(+VLOOKUP(A13,Tabla3[],'Registro de Operaciones'!$X$6,FALSE),2))</f>
      </c>
      <c r="H13" s="96">
        <f>IF(A13=0,"",VLOOKUP(+VLOOKUP(A13,Tabla3[],'Registro de Operaciones'!$I$6,FALSE),Tipo_Recibo,2,FALSE))</f>
      </c>
      <c r="I13" s="95">
        <f>IF(A13=0,"",+VLOOKUP(A13,Tabla3[],'Registro de Operaciones'!$J$6,FALSE))</f>
      </c>
      <c r="J13" s="96">
        <f>+IF(A13&gt;0,"N","")</f>
      </c>
      <c r="K13" s="95">
        <f>IF(A13=0,"",+VLOOKUP(A13,Tabla3[],'Registro de Operaciones'!$L$6,FALSE))</f>
      </c>
      <c r="L13" s="96">
        <f>+IF(A13&gt;0,"E","")</f>
      </c>
      <c r="M13" s="100">
        <f>IF(A13=0,"",+VLOOKUP(A13,Tabla3[],'Registro de Operaciones'!$E$6,FALSE))</f>
      </c>
      <c r="N13" s="95">
        <f>+IF(A13&gt;0,"Nayrut Flores","")</f>
      </c>
      <c r="O13" s="1"/>
      <c r="P13" s="1"/>
      <c r="Q13" s="33">
        <f>+LEN(U13)</f>
      </c>
      <c r="R13" s="1"/>
      <c r="S13" s="1"/>
      <c r="T13" s="1"/>
      <c r="U13" s="1"/>
      <c r="V13" s="1"/>
      <c r="W13" s="101"/>
      <c r="X13" s="1"/>
      <c r="Y13" s="1"/>
      <c r="Z13" s="1"/>
      <c r="AA13" s="1"/>
      <c r="AB13" s="1"/>
      <c r="AC13" s="1"/>
      <c r="AD13" s="1"/>
    </row>
    <row x14ac:dyDescent="0.25" r="14" customHeight="1" ht="18.75">
      <c r="A14" s="33">
        <f>+BD!AA15</f>
      </c>
      <c r="B14" s="94">
        <f>IF(A14=0,"",VLOOKUP(+VLOOKUP(A14,Tabla3[],'Registro de Operaciones'!$F$6,FALSE),DOI_Tipo,2,FALSE))</f>
      </c>
      <c r="C14" s="95">
        <f>IF(A14=0,"",+VLOOKUP(A14,Tabla3[#All],'Registro de Operaciones'!$G$6,FALSE))</f>
      </c>
      <c r="D14" s="99">
        <f>IF(A14=0,"",VLOOKUP(+VLOOKUP(A14,Tabla3[],'Registro de Operaciones'!$N$6,FALSE),Tipo_Abono,2,FALSE))</f>
        <v>25568.791666666668</v>
      </c>
      <c r="E14" s="95">
        <f>IF(A14=0,"",+VLOOKUP(A14,Tabla3[],'Registro de Operaciones'!$O$6,FALSE))</f>
      </c>
      <c r="F14" s="95">
        <f>IF(A14=0,"",+VLOOKUP(A14,Tabla3[],'Registro de Operaciones'!$H$6,FALSE))</f>
      </c>
      <c r="G14" s="97">
        <f>IF(A14=0,"",ROUND(+VLOOKUP(A14,Tabla3[],'Registro de Operaciones'!$X$6,FALSE),2))</f>
      </c>
      <c r="H14" s="96">
        <f>IF(A14=0,"",VLOOKUP(+VLOOKUP(A14,Tabla3[],'Registro de Operaciones'!$I$6,FALSE),Tipo_Recibo,2,FALSE))</f>
      </c>
      <c r="I14" s="95">
        <f>IF(A14=0,"",+VLOOKUP(A14,Tabla3[],'Registro de Operaciones'!$J$6,FALSE))</f>
      </c>
      <c r="J14" s="96">
        <f>+IF(A14&gt;0,"N","")</f>
      </c>
      <c r="K14" s="95">
        <f>IF(A14=0,"",+VLOOKUP(A14,Tabla3[],'Registro de Operaciones'!$L$6,FALSE))</f>
      </c>
      <c r="L14" s="96">
        <f>+IF(A14&gt;0,"E","")</f>
      </c>
      <c r="M14" s="100">
        <f>IF(A14=0,"",+VLOOKUP(A14,Tabla3[],'Registro de Operaciones'!$E$6,FALSE))</f>
      </c>
      <c r="N14" s="95">
        <f>+IF(A14&gt;0,"Nayrut Flores","")</f>
      </c>
      <c r="O14" s="1"/>
      <c r="P14" s="1"/>
      <c r="Q14" s="33">
        <f>+LEN(U14)</f>
      </c>
      <c r="R14" s="1"/>
      <c r="S14" s="1"/>
      <c r="T14" s="1"/>
      <c r="U14" s="1"/>
      <c r="V14" s="1"/>
      <c r="W14" s="101"/>
      <c r="X14" s="1"/>
      <c r="Y14" s="1"/>
      <c r="Z14" s="1"/>
      <c r="AA14" s="1"/>
      <c r="AB14" s="1"/>
      <c r="AC14" s="1"/>
      <c r="AD14" s="1"/>
    </row>
    <row x14ac:dyDescent="0.25" r="15" customHeight="1" ht="18.75">
      <c r="A15" s="33">
        <f>+BD!AA16</f>
      </c>
      <c r="B15" s="94">
        <f>IF(A15=0,"",VLOOKUP(+VLOOKUP(A15,Tabla3[],'Registro de Operaciones'!$F$6,FALSE),DOI_Tipo,2,FALSE))</f>
      </c>
      <c r="C15" s="95">
        <f>IF(A15=0,"",+VLOOKUP(A15,Tabla3[#All],'Registro de Operaciones'!$G$6,FALSE))</f>
      </c>
      <c r="D15" s="99">
        <f>IF(A15=0,"",VLOOKUP(+VLOOKUP(A15,Tabla3[],'Registro de Operaciones'!$N$6,FALSE),Tipo_Abono,2,FALSE))</f>
        <v>25568.791666666668</v>
      </c>
      <c r="E15" s="95">
        <f>IF(A15=0,"",+VLOOKUP(A15,Tabla3[],'Registro de Operaciones'!$O$6,FALSE))</f>
      </c>
      <c r="F15" s="95">
        <f>IF(A15=0,"",+VLOOKUP(A15,Tabla3[],'Registro de Operaciones'!$H$6,FALSE))</f>
      </c>
      <c r="G15" s="97">
        <f>IF(A15=0,"",ROUND(+VLOOKUP(A15,Tabla3[],'Registro de Operaciones'!$X$6,FALSE),2))</f>
      </c>
      <c r="H15" s="96">
        <f>IF(A15=0,"",VLOOKUP(+VLOOKUP(A15,Tabla3[],'Registro de Operaciones'!$I$6,FALSE),Tipo_Recibo,2,FALSE))</f>
      </c>
      <c r="I15" s="95">
        <f>IF(A15=0,"",+VLOOKUP(A15,Tabla3[],'Registro de Operaciones'!$J$6,FALSE))</f>
      </c>
      <c r="J15" s="96">
        <f>+IF(A15&gt;0,"N","")</f>
      </c>
      <c r="K15" s="95">
        <f>IF(A15=0,"",+VLOOKUP(A15,Tabla3[],'Registro de Operaciones'!$L$6,FALSE))</f>
      </c>
      <c r="L15" s="96">
        <f>+IF(A15&gt;0,"E","")</f>
      </c>
      <c r="M15" s="100">
        <f>IF(A15=0,"",+VLOOKUP(A15,Tabla3[],'Registro de Operaciones'!$E$6,FALSE))</f>
      </c>
      <c r="N15" s="95">
        <f>+IF(A15&gt;0,"Nayrut Flores","")</f>
      </c>
      <c r="O15" s="1"/>
      <c r="P15" s="1"/>
      <c r="Q15" s="33">
        <f>+LEN(U15)</f>
      </c>
      <c r="R15" s="1"/>
      <c r="S15" s="1"/>
      <c r="T15" s="1"/>
      <c r="U15" s="1"/>
      <c r="V15" s="1"/>
      <c r="W15" s="101"/>
      <c r="X15" s="1"/>
      <c r="Y15" s="1"/>
      <c r="Z15" s="1"/>
      <c r="AA15" s="1"/>
      <c r="AB15" s="1"/>
      <c r="AC15" s="1"/>
      <c r="AD15" s="1"/>
    </row>
    <row x14ac:dyDescent="0.25" r="16" customHeight="1" ht="18.75">
      <c r="A16" s="33">
        <f>+BD!AA17</f>
      </c>
      <c r="B16" s="94">
        <f>IF(A16=0,"",VLOOKUP(+VLOOKUP(A16,Tabla3[],'Registro de Operaciones'!$F$6,FALSE),DOI_Tipo,2,FALSE))</f>
      </c>
      <c r="C16" s="95">
        <f>IF(A16=0,"",+VLOOKUP(A16,Tabla3[#All],'Registro de Operaciones'!$G$6,FALSE))</f>
      </c>
      <c r="D16" s="99">
        <f>IF(A16=0,"",VLOOKUP(+VLOOKUP(A16,Tabla3[],'Registro de Operaciones'!$N$6,FALSE),Tipo_Abono,2,FALSE))</f>
        <v>25568.791666666668</v>
      </c>
      <c r="E16" s="95">
        <f>IF(A16=0,"",+VLOOKUP(A16,Tabla3[],'Registro de Operaciones'!$O$6,FALSE))</f>
      </c>
      <c r="F16" s="95">
        <f>IF(A16=0,"",+VLOOKUP(A16,Tabla3[],'Registro de Operaciones'!$H$6,FALSE))</f>
      </c>
      <c r="G16" s="97">
        <f>IF(A16=0,"",ROUND(+VLOOKUP(A16,Tabla3[],'Registro de Operaciones'!$X$6,FALSE),2))</f>
      </c>
      <c r="H16" s="96">
        <f>IF(A16=0,"",VLOOKUP(+VLOOKUP(A16,Tabla3[],'Registro de Operaciones'!$I$6,FALSE),Tipo_Recibo,2,FALSE))</f>
      </c>
      <c r="I16" s="95">
        <f>IF(A16=0,"",+VLOOKUP(A16,Tabla3[],'Registro de Operaciones'!$J$6,FALSE))</f>
      </c>
      <c r="J16" s="96">
        <f>+IF(A16&gt;0,"N","")</f>
      </c>
      <c r="K16" s="95">
        <f>IF(A16=0,"",+VLOOKUP(A16,Tabla3[],'Registro de Operaciones'!$L$6,FALSE))</f>
      </c>
      <c r="L16" s="96">
        <f>+IF(A16&gt;0,"E","")</f>
      </c>
      <c r="M16" s="100">
        <f>IF(A16=0,"",+VLOOKUP(A16,Tabla3[],'Registro de Operaciones'!$E$6,FALSE))</f>
      </c>
      <c r="N16" s="95">
        <f>+IF(A16&gt;0,"Nayrut Flores","")</f>
      </c>
      <c r="O16" s="1"/>
      <c r="P16" s="1"/>
      <c r="Q16" s="33">
        <f>+LEN(U16)</f>
      </c>
      <c r="R16" s="1"/>
      <c r="S16" s="1"/>
      <c r="T16" s="1"/>
      <c r="U16" s="1"/>
      <c r="V16" s="1"/>
      <c r="W16" s="101"/>
      <c r="X16" s="1"/>
      <c r="Y16" s="1"/>
      <c r="Z16" s="1"/>
      <c r="AA16" s="1"/>
      <c r="AB16" s="1"/>
      <c r="AC16" s="1"/>
      <c r="AD16" s="1"/>
    </row>
    <row x14ac:dyDescent="0.25" r="17" customHeight="1" ht="18.75">
      <c r="A17" s="33">
        <f>+BD!AA18</f>
      </c>
      <c r="B17" s="94">
        <f>IF(A17=0,"",VLOOKUP(+VLOOKUP(A17,Tabla3[],'Registro de Operaciones'!$F$6,FALSE),DOI_Tipo,2,FALSE))</f>
      </c>
      <c r="C17" s="95">
        <f>IF(A17=0,"",+VLOOKUP(A17,Tabla3[#All],'Registro de Operaciones'!$G$6,FALSE))</f>
      </c>
      <c r="D17" s="99">
        <f>IF(A17=0,"",VLOOKUP(+VLOOKUP(A17,Tabla3[],'Registro de Operaciones'!$N$6,FALSE),Tipo_Abono,2,FALSE))</f>
        <v>25568.791666666668</v>
      </c>
      <c r="E17" s="95">
        <f>IF(A17=0,"",+VLOOKUP(A17,Tabla3[],'Registro de Operaciones'!$O$6,FALSE))</f>
      </c>
      <c r="F17" s="95">
        <f>IF(A17=0,"",+VLOOKUP(A17,Tabla3[],'Registro de Operaciones'!$H$6,FALSE))</f>
      </c>
      <c r="G17" s="97">
        <f>IF(A17=0,"",ROUND(+VLOOKUP(A17,Tabla3[],'Registro de Operaciones'!$X$6,FALSE),2))</f>
      </c>
      <c r="H17" s="96">
        <f>IF(A17=0,"",VLOOKUP(+VLOOKUP(A17,Tabla3[],'Registro de Operaciones'!$I$6,FALSE),Tipo_Recibo,2,FALSE))</f>
      </c>
      <c r="I17" s="95">
        <f>IF(A17=0,"",+VLOOKUP(A17,Tabla3[],'Registro de Operaciones'!$J$6,FALSE))</f>
      </c>
      <c r="J17" s="96">
        <f>+IF(A17&gt;0,"N","")</f>
      </c>
      <c r="K17" s="95">
        <f>IF(A17=0,"",+VLOOKUP(A17,Tabla3[],'Registro de Operaciones'!$L$6,FALSE))</f>
      </c>
      <c r="L17" s="96">
        <f>+IF(A17&gt;0,"E","")</f>
      </c>
      <c r="M17" s="100">
        <f>IF(A17=0,"",+VLOOKUP(A17,Tabla3[],'Registro de Operaciones'!$E$6,FALSE))</f>
      </c>
      <c r="N17" s="95">
        <f>+IF(A17&gt;0,"Nayrut Flores","")</f>
      </c>
      <c r="O17" s="1"/>
      <c r="P17" s="1"/>
      <c r="Q17" s="33">
        <f>+LEN(U17)</f>
      </c>
      <c r="R17" s="1"/>
      <c r="S17" s="1"/>
      <c r="T17" s="1"/>
      <c r="U17" s="1"/>
      <c r="V17" s="1"/>
      <c r="W17" s="101"/>
      <c r="X17" s="1"/>
      <c r="Y17" s="1"/>
      <c r="Z17" s="1"/>
      <c r="AA17" s="1"/>
      <c r="AB17" s="1"/>
      <c r="AC17" s="1"/>
      <c r="AD17" s="1"/>
    </row>
    <row x14ac:dyDescent="0.25" r="18" customHeight="1" ht="18.75">
      <c r="A18" s="33">
        <f>+BD!AA19</f>
      </c>
      <c r="B18" s="94">
        <f>IF(A18=0,"",VLOOKUP(+VLOOKUP(A18,Tabla3[],'Registro de Operaciones'!$F$6,FALSE),DOI_Tipo,2,FALSE))</f>
      </c>
      <c r="C18" s="95">
        <f>IF(A18=0,"",+VLOOKUP(A18,Tabla3[#All],'Registro de Operaciones'!$G$6,FALSE))</f>
      </c>
      <c r="D18" s="99">
        <f>IF(A18=0,"",VLOOKUP(+VLOOKUP(A18,Tabla3[],'Registro de Operaciones'!$N$6,FALSE),Tipo_Abono,2,FALSE))</f>
        <v>25568.791666666668</v>
      </c>
      <c r="E18" s="95">
        <f>IF(A18=0,"",+VLOOKUP(A18,Tabla3[],'Registro de Operaciones'!$O$6,FALSE))</f>
      </c>
      <c r="F18" s="95">
        <f>IF(A18=0,"",+VLOOKUP(A18,Tabla3[],'Registro de Operaciones'!$H$6,FALSE))</f>
      </c>
      <c r="G18" s="97">
        <f>IF(A18=0,"",ROUND(+VLOOKUP(A18,Tabla3[],'Registro de Operaciones'!$X$6,FALSE),2))</f>
      </c>
      <c r="H18" s="96">
        <f>IF(A18=0,"",VLOOKUP(+VLOOKUP(A18,Tabla3[],'Registro de Operaciones'!$I$6,FALSE),Tipo_Recibo,2,FALSE))</f>
      </c>
      <c r="I18" s="95">
        <f>IF(A18=0,"",+VLOOKUP(A18,Tabla3[],'Registro de Operaciones'!$J$6,FALSE))</f>
      </c>
      <c r="J18" s="96">
        <f>+IF(A18&gt;0,"N","")</f>
      </c>
      <c r="K18" s="95">
        <f>IF(A18=0,"",+VLOOKUP(A18,Tabla3[],'Registro de Operaciones'!$L$6,FALSE))</f>
      </c>
      <c r="L18" s="96">
        <f>+IF(A18&gt;0,"E","")</f>
      </c>
      <c r="M18" s="100">
        <f>IF(A18=0,"",+VLOOKUP(A18,Tabla3[],'Registro de Operaciones'!$E$6,FALSE))</f>
      </c>
      <c r="N18" s="95">
        <f>+IF(A18&gt;0,"Nayrut Flores","")</f>
      </c>
      <c r="O18" s="1"/>
      <c r="P18" s="1"/>
      <c r="Q18" s="33">
        <f>+LEN(U18)</f>
      </c>
      <c r="R18" s="1"/>
      <c r="S18" s="1"/>
      <c r="T18" s="1"/>
      <c r="U18" s="1"/>
      <c r="V18" s="1"/>
      <c r="W18" s="101"/>
      <c r="X18" s="1"/>
      <c r="Y18" s="1"/>
      <c r="Z18" s="1"/>
      <c r="AA18" s="1"/>
      <c r="AB18" s="1"/>
      <c r="AC18" s="1"/>
      <c r="AD18" s="1"/>
    </row>
    <row x14ac:dyDescent="0.25" r="19" customHeight="1" ht="18.75">
      <c r="A19" s="33">
        <f>+BD!AA20</f>
      </c>
      <c r="B19" s="94">
        <f>IF(A19=0,"",VLOOKUP(+VLOOKUP(A19,Tabla3[],'Registro de Operaciones'!$F$6,FALSE),DOI_Tipo,2,FALSE))</f>
      </c>
      <c r="C19" s="95">
        <f>IF(A19=0,"",+VLOOKUP(A19,Tabla3[#All],'Registro de Operaciones'!$G$6,FALSE))</f>
      </c>
      <c r="D19" s="99">
        <f>IF(A19=0,"",VLOOKUP(+VLOOKUP(A19,Tabla3[],'Registro de Operaciones'!$N$6,FALSE),Tipo_Abono,2,FALSE))</f>
        <v>25568.791666666668</v>
      </c>
      <c r="E19" s="95">
        <f>IF(A19=0,"",+VLOOKUP(A19,Tabla3[],'Registro de Operaciones'!$O$6,FALSE))</f>
      </c>
      <c r="F19" s="95">
        <f>IF(A19=0,"",+VLOOKUP(A19,Tabla3[],'Registro de Operaciones'!$H$6,FALSE))</f>
      </c>
      <c r="G19" s="97">
        <f>IF(A19=0,"",ROUND(+VLOOKUP(A19,Tabla3[],'Registro de Operaciones'!$X$6,FALSE),2))</f>
      </c>
      <c r="H19" s="96">
        <f>IF(A19=0,"",VLOOKUP(+VLOOKUP(A19,Tabla3[],'Registro de Operaciones'!$I$6,FALSE),Tipo_Recibo,2,FALSE))</f>
      </c>
      <c r="I19" s="95">
        <f>IF(A19=0,"",+VLOOKUP(A19,Tabla3[],'Registro de Operaciones'!$J$6,FALSE))</f>
      </c>
      <c r="J19" s="96">
        <f>+IF(A19&gt;0,"N","")</f>
      </c>
      <c r="K19" s="95">
        <f>IF(A19=0,"",+VLOOKUP(A19,Tabla3[],'Registro de Operaciones'!$L$6,FALSE))</f>
      </c>
      <c r="L19" s="96">
        <f>+IF(A19&gt;0,"E","")</f>
      </c>
      <c r="M19" s="100">
        <f>IF(A19=0,"",+VLOOKUP(A19,Tabla3[],'Registro de Operaciones'!$E$6,FALSE))</f>
      </c>
      <c r="N19" s="95">
        <f>+IF(A19&gt;0,"Nayrut Flores","")</f>
      </c>
      <c r="O19" s="1"/>
      <c r="P19" s="1"/>
      <c r="Q19" s="33">
        <f>+LEN(U19)</f>
      </c>
      <c r="R19" s="1"/>
      <c r="S19" s="1"/>
      <c r="T19" s="1"/>
      <c r="U19" s="1"/>
      <c r="V19" s="1"/>
      <c r="W19" s="101"/>
      <c r="X19" s="1"/>
      <c r="Y19" s="1"/>
      <c r="Z19" s="1"/>
      <c r="AA19" s="1"/>
      <c r="AB19" s="1"/>
      <c r="AC19" s="1"/>
      <c r="AD19" s="1"/>
    </row>
    <row x14ac:dyDescent="0.25" r="20" customHeight="1" ht="18.75">
      <c r="A20" s="33">
        <f>+BD!AA21</f>
      </c>
      <c r="B20" s="94">
        <f>IF(A20=0,"",VLOOKUP(+VLOOKUP(A20,Tabla3[],'Registro de Operaciones'!$F$6,FALSE),DOI_Tipo,2,FALSE))</f>
      </c>
      <c r="C20" s="95">
        <f>IF(A20=0,"",+VLOOKUP(A20,Tabla3[#All],'Registro de Operaciones'!$G$6,FALSE))</f>
      </c>
      <c r="D20" s="99">
        <f>IF(A20=0,"",VLOOKUP(+VLOOKUP(A20,Tabla3[],'Registro de Operaciones'!$N$6,FALSE),Tipo_Abono,2,FALSE))</f>
        <v>25568.791666666668</v>
      </c>
      <c r="E20" s="95">
        <f>IF(A20=0,"",+VLOOKUP(A20,Tabla3[],'Registro de Operaciones'!$O$6,FALSE))</f>
      </c>
      <c r="F20" s="95">
        <f>IF(A20=0,"",+VLOOKUP(A20,Tabla3[],'Registro de Operaciones'!$H$6,FALSE))</f>
      </c>
      <c r="G20" s="97">
        <f>IF(A20=0,"",ROUND(+VLOOKUP(A20,Tabla3[],'Registro de Operaciones'!$X$6,FALSE),2))</f>
      </c>
      <c r="H20" s="96">
        <f>IF(A20=0,"",VLOOKUP(+VLOOKUP(A20,Tabla3[],'Registro de Operaciones'!$I$6,FALSE),Tipo_Recibo,2,FALSE))</f>
      </c>
      <c r="I20" s="95">
        <f>IF(A20=0,"",+VLOOKUP(A20,Tabla3[],'Registro de Operaciones'!$J$6,FALSE))</f>
      </c>
      <c r="J20" s="96">
        <f>+IF(A20&gt;0,"N","")</f>
      </c>
      <c r="K20" s="95">
        <f>IF(A20=0,"",+VLOOKUP(A20,Tabla3[],'Registro de Operaciones'!$L$6,FALSE))</f>
      </c>
      <c r="L20" s="96">
        <f>+IF(A20&gt;0,"E","")</f>
      </c>
      <c r="M20" s="100">
        <f>IF(A20=0,"",+VLOOKUP(A20,Tabla3[],'Registro de Operaciones'!$E$6,FALSE))</f>
      </c>
      <c r="N20" s="95">
        <f>+IF(A20&gt;0,"Nayrut Flores","")</f>
      </c>
      <c r="O20" s="1"/>
      <c r="P20" s="1"/>
      <c r="Q20" s="33">
        <f>+LEN(U20)</f>
      </c>
      <c r="R20" s="1"/>
      <c r="S20" s="1"/>
      <c r="T20" s="1"/>
      <c r="U20" s="1"/>
      <c r="V20" s="1"/>
      <c r="W20" s="101"/>
      <c r="X20" s="1"/>
      <c r="Y20" s="1"/>
      <c r="Z20" s="1"/>
      <c r="AA20" s="1"/>
      <c r="AB20" s="1"/>
      <c r="AC20" s="1"/>
      <c r="AD20" s="1"/>
    </row>
    <row x14ac:dyDescent="0.25" r="21" customHeight="1" ht="18.75">
      <c r="A21" s="33">
        <f>+BD!AA22</f>
      </c>
      <c r="B21" s="94">
        <f>IF(A21=0,"",VLOOKUP(+VLOOKUP(A21,Tabla3[],'Registro de Operaciones'!$F$6,FALSE),DOI_Tipo,2,FALSE))</f>
      </c>
      <c r="C21" s="95">
        <f>IF(A21=0,"",+VLOOKUP(A21,Tabla3[#All],'Registro de Operaciones'!$G$6,FALSE))</f>
      </c>
      <c r="D21" s="99">
        <f>IF(A21=0,"",VLOOKUP(+VLOOKUP(A21,Tabla3[],'Registro de Operaciones'!$N$6,FALSE),Tipo_Abono,2,FALSE))</f>
        <v>25568.791666666668</v>
      </c>
      <c r="E21" s="95">
        <f>IF(A21=0,"",+VLOOKUP(A21,Tabla3[],'Registro de Operaciones'!$O$6,FALSE))</f>
      </c>
      <c r="F21" s="95">
        <f>IF(A21=0,"",+VLOOKUP(A21,Tabla3[],'Registro de Operaciones'!$H$6,FALSE))</f>
      </c>
      <c r="G21" s="97">
        <f>IF(A21=0,"",ROUND(+VLOOKUP(A21,Tabla3[],'Registro de Operaciones'!$X$6,FALSE),2))</f>
      </c>
      <c r="H21" s="96">
        <f>IF(A21=0,"",VLOOKUP(+VLOOKUP(A21,Tabla3[],'Registro de Operaciones'!$I$6,FALSE),Tipo_Recibo,2,FALSE))</f>
      </c>
      <c r="I21" s="95">
        <f>IF(A21=0,"",+VLOOKUP(A21,Tabla3[],'Registro de Operaciones'!$J$6,FALSE))</f>
      </c>
      <c r="J21" s="96">
        <f>+IF(A21&gt;0,"N","")</f>
      </c>
      <c r="K21" s="95">
        <f>IF(A21=0,"",+VLOOKUP(A21,Tabla3[],'Registro de Operaciones'!$L$6,FALSE))</f>
      </c>
      <c r="L21" s="96">
        <f>+IF(A21&gt;0,"E","")</f>
      </c>
      <c r="M21" s="100">
        <f>IF(A21=0,"",+VLOOKUP(A21,Tabla3[],'Registro de Operaciones'!$E$6,FALSE))</f>
      </c>
      <c r="N21" s="95">
        <f>+IF(A21&gt;0,"Nayrut Flores","")</f>
      </c>
      <c r="O21" s="1"/>
      <c r="P21" s="1"/>
      <c r="Q21" s="33">
        <f>+LEN(U21)</f>
      </c>
      <c r="R21" s="1"/>
      <c r="S21" s="1"/>
      <c r="T21" s="1"/>
      <c r="U21" s="1"/>
      <c r="V21" s="1"/>
      <c r="W21" s="101"/>
      <c r="X21" s="1"/>
      <c r="Y21" s="1"/>
      <c r="Z21" s="1"/>
      <c r="AA21" s="1"/>
      <c r="AB21" s="1"/>
      <c r="AC21" s="1"/>
      <c r="AD21" s="1"/>
    </row>
    <row x14ac:dyDescent="0.25" r="22" customHeight="1" ht="18.75">
      <c r="A22" s="33">
        <f>+BD!AA23</f>
      </c>
      <c r="B22" s="94">
        <f>IF(A22=0,"",VLOOKUP(+VLOOKUP(A22,Tabla3[],'Registro de Operaciones'!$F$6,FALSE),DOI_Tipo,2,FALSE))</f>
      </c>
      <c r="C22" s="95">
        <f>IF(A22=0,"",+VLOOKUP(A22,Tabla3[#All],'Registro de Operaciones'!$G$6,FALSE))</f>
      </c>
      <c r="D22" s="99">
        <f>IF(A22=0,"",VLOOKUP(+VLOOKUP(A22,Tabla3[],'Registro de Operaciones'!$N$6,FALSE),Tipo_Abono,2,FALSE))</f>
        <v>25568.791666666668</v>
      </c>
      <c r="E22" s="95">
        <f>IF(A22=0,"",+VLOOKUP(A22,Tabla3[],'Registro de Operaciones'!$O$6,FALSE))</f>
      </c>
      <c r="F22" s="95">
        <f>IF(A22=0,"",+VLOOKUP(A22,Tabla3[],'Registro de Operaciones'!$H$6,FALSE))</f>
      </c>
      <c r="G22" s="97">
        <f>IF(A22=0,"",ROUND(+VLOOKUP(A22,Tabla3[],'Registro de Operaciones'!$X$6,FALSE),2))</f>
      </c>
      <c r="H22" s="96">
        <f>IF(A22=0,"",VLOOKUP(+VLOOKUP(A22,Tabla3[],'Registro de Operaciones'!$I$6,FALSE),Tipo_Recibo,2,FALSE))</f>
      </c>
      <c r="I22" s="95">
        <f>IF(A22=0,"",+VLOOKUP(A22,Tabla3[],'Registro de Operaciones'!$J$6,FALSE))</f>
      </c>
      <c r="J22" s="96">
        <f>+IF(A22&gt;0,"N","")</f>
      </c>
      <c r="K22" s="95">
        <f>IF(A22=0,"",+VLOOKUP(A22,Tabla3[],'Registro de Operaciones'!$L$6,FALSE))</f>
      </c>
      <c r="L22" s="96">
        <f>+IF(A22&gt;0,"E","")</f>
      </c>
      <c r="M22" s="100">
        <f>IF(A22=0,"",+VLOOKUP(A22,Tabla3[],'Registro de Operaciones'!$E$6,FALSE))</f>
      </c>
      <c r="N22" s="95">
        <f>+IF(A22&gt;0,"Nayrut Flores","")</f>
      </c>
      <c r="O22" s="1"/>
      <c r="P22" s="1"/>
      <c r="Q22" s="33">
        <f>+LEN(U22)</f>
      </c>
      <c r="R22" s="1"/>
      <c r="S22" s="1"/>
      <c r="T22" s="1"/>
      <c r="U22" s="1"/>
      <c r="V22" s="1"/>
      <c r="W22" s="101"/>
      <c r="X22" s="1"/>
      <c r="Y22" s="1"/>
      <c r="Z22" s="1"/>
      <c r="AA22" s="1"/>
      <c r="AB22" s="1"/>
      <c r="AC22" s="1"/>
      <c r="AD22" s="1"/>
    </row>
    <row x14ac:dyDescent="0.25" r="23" customHeight="1" ht="18.75">
      <c r="A23" s="33">
        <f>+BD!AA24</f>
      </c>
      <c r="B23" s="94">
        <f>IF(A23=0,"",VLOOKUP(+VLOOKUP(A23,Tabla3[],'Registro de Operaciones'!$F$6,FALSE),DOI_Tipo,2,FALSE))</f>
      </c>
      <c r="C23" s="95">
        <f>IF(A23=0,"",+VLOOKUP(A23,Tabla3[#All],'Registro de Operaciones'!$G$6,FALSE))</f>
      </c>
      <c r="D23" s="99">
        <f>IF(A23=0,"",VLOOKUP(+VLOOKUP(A23,Tabla3[],'Registro de Operaciones'!$N$6,FALSE),Tipo_Abono,2,FALSE))</f>
        <v>25568.791666666668</v>
      </c>
      <c r="E23" s="95">
        <f>IF(A23=0,"",+VLOOKUP(A23,Tabla3[],'Registro de Operaciones'!$O$6,FALSE))</f>
      </c>
      <c r="F23" s="95">
        <f>IF(A23=0,"",+VLOOKUP(A23,Tabla3[],'Registro de Operaciones'!$H$6,FALSE))</f>
      </c>
      <c r="G23" s="97">
        <f>IF(A23=0,"",ROUND(+VLOOKUP(A23,Tabla3[],'Registro de Operaciones'!$X$6,FALSE),2))</f>
      </c>
      <c r="H23" s="96">
        <f>IF(A23=0,"",VLOOKUP(+VLOOKUP(A23,Tabla3[],'Registro de Operaciones'!$I$6,FALSE),Tipo_Recibo,2,FALSE))</f>
      </c>
      <c r="I23" s="95">
        <f>IF(A23=0,"",+VLOOKUP(A23,Tabla3[],'Registro de Operaciones'!$J$6,FALSE))</f>
      </c>
      <c r="J23" s="96">
        <f>+IF(A23&gt;0,"N","")</f>
      </c>
      <c r="K23" s="95">
        <f>IF(A23=0,"",+VLOOKUP(A23,Tabla3[],'Registro de Operaciones'!$L$6,FALSE))</f>
      </c>
      <c r="L23" s="96">
        <f>+IF(A23&gt;0,"E","")</f>
      </c>
      <c r="M23" s="100">
        <f>IF(A23=0,"",+VLOOKUP(A23,Tabla3[],'Registro de Operaciones'!$E$6,FALSE))</f>
      </c>
      <c r="N23" s="95">
        <f>+IF(A23&gt;0,"Nayrut Flores","")</f>
      </c>
      <c r="O23" s="1"/>
      <c r="P23" s="1"/>
      <c r="Q23" s="33">
        <f>+LEN(U23)</f>
      </c>
      <c r="R23" s="1"/>
      <c r="S23" s="1"/>
      <c r="T23" s="1"/>
      <c r="U23" s="1"/>
      <c r="V23" s="1"/>
      <c r="W23" s="101"/>
      <c r="X23" s="1"/>
      <c r="Y23" s="1"/>
      <c r="Z23" s="1"/>
      <c r="AA23" s="1"/>
      <c r="AB23" s="1"/>
      <c r="AC23" s="1"/>
      <c r="AD23" s="1"/>
    </row>
    <row x14ac:dyDescent="0.25" r="24" customHeight="1" ht="18.75">
      <c r="A24" s="33">
        <f>+BD!AA25</f>
      </c>
      <c r="B24" s="94">
        <f>IF(A24=0,"",VLOOKUP(+VLOOKUP(A24,Tabla3[],'Registro de Operaciones'!$F$6,FALSE),DOI_Tipo,2,FALSE))</f>
      </c>
      <c r="C24" s="95">
        <f>IF(A24=0,"",+VLOOKUP(A24,Tabla3[#All],'Registro de Operaciones'!$G$6,FALSE))</f>
      </c>
      <c r="D24" s="99">
        <f>IF(A24=0,"",VLOOKUP(+VLOOKUP(A24,Tabla3[],'Registro de Operaciones'!$N$6,FALSE),Tipo_Abono,2,FALSE))</f>
        <v>25568.791666666668</v>
      </c>
      <c r="E24" s="95">
        <f>IF(A24=0,"",+VLOOKUP(A24,Tabla3[],'Registro de Operaciones'!$O$6,FALSE))</f>
      </c>
      <c r="F24" s="95">
        <f>IF(A24=0,"",+VLOOKUP(A24,Tabla3[],'Registro de Operaciones'!$H$6,FALSE))</f>
      </c>
      <c r="G24" s="97">
        <f>IF(A24=0,"",ROUND(+VLOOKUP(A24,Tabla3[],'Registro de Operaciones'!$X$6,FALSE),2))</f>
      </c>
      <c r="H24" s="96">
        <f>IF(A24=0,"",VLOOKUP(+VLOOKUP(A24,Tabla3[],'Registro de Operaciones'!$I$6,FALSE),Tipo_Recibo,2,FALSE))</f>
      </c>
      <c r="I24" s="95">
        <f>IF(A24=0,"",+VLOOKUP(A24,Tabla3[],'Registro de Operaciones'!$J$6,FALSE))</f>
      </c>
      <c r="J24" s="96">
        <f>+IF(A24&gt;0,"N","")</f>
      </c>
      <c r="K24" s="95">
        <f>IF(A24=0,"",+VLOOKUP(A24,Tabla3[],'Registro de Operaciones'!$L$6,FALSE))</f>
      </c>
      <c r="L24" s="96">
        <f>+IF(A24&gt;0,"E","")</f>
      </c>
      <c r="M24" s="100">
        <f>IF(A24=0,"",+VLOOKUP(A24,Tabla3[],'Registro de Operaciones'!$E$6,FALSE))</f>
      </c>
      <c r="N24" s="95">
        <f>+IF(A24&gt;0,"Nayrut Flores","")</f>
      </c>
      <c r="O24" s="1"/>
      <c r="P24" s="1"/>
      <c r="Q24" s="33">
        <f>+LEN(U24)</f>
      </c>
      <c r="R24" s="1"/>
      <c r="S24" s="1"/>
      <c r="T24" s="1"/>
      <c r="U24" s="1"/>
      <c r="V24" s="1"/>
      <c r="W24" s="101"/>
      <c r="X24" s="1"/>
      <c r="Y24" s="1"/>
      <c r="Z24" s="1"/>
      <c r="AA24" s="1"/>
      <c r="AB24" s="1"/>
      <c r="AC24" s="1"/>
      <c r="AD24" s="1"/>
    </row>
    <row x14ac:dyDescent="0.25" r="25" customHeight="1" ht="18.75">
      <c r="A25" s="33">
        <f>+BD!AA26</f>
      </c>
      <c r="B25" s="94">
        <f>IF(A25=0,"",VLOOKUP(+VLOOKUP(A25,Tabla3[],'Registro de Operaciones'!$F$6,FALSE),DOI_Tipo,2,FALSE))</f>
      </c>
      <c r="C25" s="95">
        <f>IF(A25=0,"",+VLOOKUP(A25,Tabla3[#All],'Registro de Operaciones'!$G$6,FALSE))</f>
      </c>
      <c r="D25" s="99">
        <f>IF(A25=0,"",VLOOKUP(+VLOOKUP(A25,Tabla3[],'Registro de Operaciones'!$N$6,FALSE),Tipo_Abono,2,FALSE))</f>
        <v>25568.791666666668</v>
      </c>
      <c r="E25" s="95">
        <f>IF(A25=0,"",+VLOOKUP(A25,Tabla3[],'Registro de Operaciones'!$O$6,FALSE))</f>
      </c>
      <c r="F25" s="95">
        <f>IF(A25=0,"",+VLOOKUP(A25,Tabla3[],'Registro de Operaciones'!$H$6,FALSE))</f>
      </c>
      <c r="G25" s="97">
        <f>IF(A25=0,"",ROUND(+VLOOKUP(A25,Tabla3[],'Registro de Operaciones'!$X$6,FALSE),2))</f>
      </c>
      <c r="H25" s="96">
        <f>IF(A25=0,"",VLOOKUP(+VLOOKUP(A25,Tabla3[],'Registro de Operaciones'!$I$6,FALSE),Tipo_Recibo,2,FALSE))</f>
      </c>
      <c r="I25" s="95">
        <f>IF(A25=0,"",+VLOOKUP(A25,Tabla3[],'Registro de Operaciones'!$J$6,FALSE))</f>
      </c>
      <c r="J25" s="96">
        <f>+IF(A25&gt;0,"N","")</f>
      </c>
      <c r="K25" s="95">
        <f>IF(A25=0,"",+VLOOKUP(A25,Tabla3[],'Registro de Operaciones'!$L$6,FALSE))</f>
      </c>
      <c r="L25" s="96">
        <f>+IF(A25&gt;0,"E","")</f>
      </c>
      <c r="M25" s="100">
        <f>IF(A25=0,"",+VLOOKUP(A25,Tabla3[],'Registro de Operaciones'!$E$6,FALSE))</f>
      </c>
      <c r="N25" s="95">
        <f>+IF(A25&gt;0,"Nayrut Flores","")</f>
      </c>
      <c r="O25" s="1"/>
      <c r="P25" s="1"/>
      <c r="Q25" s="33">
        <f>+LEN(U25)</f>
      </c>
      <c r="R25" s="1"/>
      <c r="S25" s="1"/>
      <c r="T25" s="1"/>
      <c r="U25" s="1"/>
      <c r="V25" s="1"/>
      <c r="W25" s="101"/>
      <c r="X25" s="1"/>
      <c r="Y25" s="1"/>
      <c r="Z25" s="1"/>
      <c r="AA25" s="1"/>
      <c r="AB25" s="1"/>
      <c r="AC25" s="1"/>
      <c r="AD25" s="1"/>
    </row>
    <row x14ac:dyDescent="0.25" r="26" customHeight="1" ht="18.75">
      <c r="A26" s="33">
        <f>+BD!AA27</f>
      </c>
      <c r="B26" s="94">
        <f>IF(A26=0,"",VLOOKUP(+VLOOKUP(A26,Tabla3[],'Registro de Operaciones'!$F$6,FALSE),DOI_Tipo,2,FALSE))</f>
      </c>
      <c r="C26" s="95">
        <f>IF(A26=0,"",+VLOOKUP(A26,Tabla3[#All],'Registro de Operaciones'!$G$6,FALSE))</f>
      </c>
      <c r="D26" s="99">
        <f>IF(A26=0,"",VLOOKUP(+VLOOKUP(A26,Tabla3[],'Registro de Operaciones'!$N$6,FALSE),Tipo_Abono,2,FALSE))</f>
        <v>25568.791666666668</v>
      </c>
      <c r="E26" s="95">
        <f>IF(A26=0,"",+VLOOKUP(A26,Tabla3[],'Registro de Operaciones'!$O$6,FALSE))</f>
      </c>
      <c r="F26" s="95">
        <f>IF(A26=0,"",+VLOOKUP(A26,Tabla3[],'Registro de Operaciones'!$H$6,FALSE))</f>
      </c>
      <c r="G26" s="97">
        <f>IF(A26=0,"",ROUND(+VLOOKUP(A26,Tabla3[],'Registro de Operaciones'!$X$6,FALSE),2))</f>
      </c>
      <c r="H26" s="96">
        <f>IF(A26=0,"",VLOOKUP(+VLOOKUP(A26,Tabla3[],'Registro de Operaciones'!$I$6,FALSE),Tipo_Recibo,2,FALSE))</f>
      </c>
      <c r="I26" s="95">
        <f>IF(A26=0,"",+VLOOKUP(A26,Tabla3[],'Registro de Operaciones'!$J$6,FALSE))</f>
      </c>
      <c r="J26" s="96">
        <f>+IF(A26&gt;0,"N","")</f>
      </c>
      <c r="K26" s="95">
        <f>IF(A26=0,"",+VLOOKUP(A26,Tabla3[],'Registro de Operaciones'!$L$6,FALSE))</f>
      </c>
      <c r="L26" s="96">
        <f>+IF(A26&gt;0,"E","")</f>
      </c>
      <c r="M26" s="100">
        <f>IF(A26=0,"",+VLOOKUP(A26,Tabla3[],'Registro de Operaciones'!$E$6,FALSE))</f>
      </c>
      <c r="N26" s="95">
        <f>+IF(A26&gt;0,"Nayrut Flores","")</f>
      </c>
      <c r="O26" s="1"/>
      <c r="P26" s="1"/>
      <c r="Q26" s="33">
        <f>+LEN(U26)</f>
      </c>
      <c r="R26" s="1"/>
      <c r="S26" s="1"/>
      <c r="T26" s="1"/>
      <c r="U26" s="1"/>
      <c r="V26" s="1"/>
      <c r="W26" s="101"/>
      <c r="X26" s="1"/>
      <c r="Y26" s="1"/>
      <c r="Z26" s="1"/>
      <c r="AA26" s="1"/>
      <c r="AB26" s="1"/>
      <c r="AC26" s="1"/>
      <c r="AD26" s="1"/>
    </row>
    <row x14ac:dyDescent="0.25" r="27" customHeight="1" ht="18.75">
      <c r="A27" s="33">
        <f>+BD!AA28</f>
      </c>
      <c r="B27" s="94">
        <f>IF(A27=0,"",VLOOKUP(+VLOOKUP(A27,Tabla3[],'Registro de Operaciones'!$F$6,FALSE),DOI_Tipo,2,FALSE))</f>
      </c>
      <c r="C27" s="95">
        <f>IF(A27=0,"",+VLOOKUP(A27,Tabla3[#All],'Registro de Operaciones'!$G$6,FALSE))</f>
      </c>
      <c r="D27" s="99">
        <f>IF(A27=0,"",VLOOKUP(+VLOOKUP(A27,Tabla3[],'Registro de Operaciones'!$N$6,FALSE),Tipo_Abono,2,FALSE))</f>
        <v>25568.791666666668</v>
      </c>
      <c r="E27" s="95">
        <f>IF(A27=0,"",+VLOOKUP(A27,Tabla3[],'Registro de Operaciones'!$O$6,FALSE))</f>
      </c>
      <c r="F27" s="95">
        <f>IF(A27=0,"",+VLOOKUP(A27,Tabla3[],'Registro de Operaciones'!$H$6,FALSE))</f>
      </c>
      <c r="G27" s="97">
        <f>IF(A27=0,"",ROUND(+VLOOKUP(A27,Tabla3[],'Registro de Operaciones'!$X$6,FALSE),2))</f>
      </c>
      <c r="H27" s="96">
        <f>IF(A27=0,"",VLOOKUP(+VLOOKUP(A27,Tabla3[],'Registro de Operaciones'!$I$6,FALSE),Tipo_Recibo,2,FALSE))</f>
      </c>
      <c r="I27" s="95">
        <f>IF(A27=0,"",+VLOOKUP(A27,Tabla3[],'Registro de Operaciones'!$J$6,FALSE))</f>
      </c>
      <c r="J27" s="96">
        <f>+IF(A27&gt;0,"N","")</f>
      </c>
      <c r="K27" s="95">
        <f>IF(A27=0,"",+VLOOKUP(A27,Tabla3[],'Registro de Operaciones'!$L$6,FALSE))</f>
      </c>
      <c r="L27" s="96">
        <f>+IF(A27&gt;0,"E","")</f>
      </c>
      <c r="M27" s="100">
        <f>IF(A27=0,"",+VLOOKUP(A27,Tabla3[],'Registro de Operaciones'!$E$6,FALSE))</f>
      </c>
      <c r="N27" s="95">
        <f>+IF(A27&gt;0,"Nayrut Flores","")</f>
      </c>
      <c r="O27" s="1"/>
      <c r="P27" s="1"/>
      <c r="Q27" s="33">
        <f>+LEN(U27)</f>
      </c>
      <c r="R27" s="1"/>
      <c r="S27" s="1"/>
      <c r="T27" s="1"/>
      <c r="U27" s="1"/>
      <c r="V27" s="1"/>
      <c r="W27" s="101"/>
      <c r="X27" s="1"/>
      <c r="Y27" s="1"/>
      <c r="Z27" s="1"/>
      <c r="AA27" s="1"/>
      <c r="AB27" s="1"/>
      <c r="AC27" s="1"/>
      <c r="AD27" s="1"/>
    </row>
    <row x14ac:dyDescent="0.25" r="28" customHeight="1" ht="18.75">
      <c r="A28" s="33">
        <f>+BD!AA29</f>
      </c>
      <c r="B28" s="94">
        <f>IF(A28=0,"",VLOOKUP(+VLOOKUP(A28,Tabla3[],'Registro de Operaciones'!$F$6,FALSE),DOI_Tipo,2,FALSE))</f>
      </c>
      <c r="C28" s="95">
        <f>IF(A28=0,"",+VLOOKUP(A28,Tabla3[#All],'Registro de Operaciones'!$G$6,FALSE))</f>
      </c>
      <c r="D28" s="99">
        <f>IF(A28=0,"",VLOOKUP(+VLOOKUP(A28,Tabla3[],'Registro de Operaciones'!$N$6,FALSE),Tipo_Abono,2,FALSE))</f>
        <v>25568.791666666668</v>
      </c>
      <c r="E28" s="95">
        <f>IF(A28=0,"",+VLOOKUP(A28,Tabla3[],'Registro de Operaciones'!$O$6,FALSE))</f>
      </c>
      <c r="F28" s="95">
        <f>IF(A28=0,"",+VLOOKUP(A28,Tabla3[],'Registro de Operaciones'!$H$6,FALSE))</f>
      </c>
      <c r="G28" s="97">
        <f>IF(A28=0,"",ROUND(+VLOOKUP(A28,Tabla3[],'Registro de Operaciones'!$X$6,FALSE),2))</f>
      </c>
      <c r="H28" s="96">
        <f>IF(A28=0,"",VLOOKUP(+VLOOKUP(A28,Tabla3[],'Registro de Operaciones'!$I$6,FALSE),Tipo_Recibo,2,FALSE))</f>
      </c>
      <c r="I28" s="95">
        <f>IF(A28=0,"",+VLOOKUP(A28,Tabla3[],'Registro de Operaciones'!$J$6,FALSE))</f>
      </c>
      <c r="J28" s="96">
        <f>+IF(A28&gt;0,"N","")</f>
      </c>
      <c r="K28" s="95">
        <f>IF(A28=0,"",+VLOOKUP(A28,Tabla3[],'Registro de Operaciones'!$L$6,FALSE))</f>
      </c>
      <c r="L28" s="96">
        <f>+IF(A28&gt;0,"E","")</f>
      </c>
      <c r="M28" s="100">
        <f>IF(A28=0,"",+VLOOKUP(A28,Tabla3[],'Registro de Operaciones'!$E$6,FALSE))</f>
      </c>
      <c r="N28" s="95">
        <f>+IF(A28&gt;0,"Nayrut Flores","")</f>
      </c>
      <c r="O28" s="1"/>
      <c r="P28" s="1"/>
      <c r="Q28" s="33">
        <f>+LEN(U28)</f>
      </c>
      <c r="R28" s="1"/>
      <c r="S28" s="1"/>
      <c r="T28" s="1"/>
      <c r="U28" s="1"/>
      <c r="V28" s="1"/>
      <c r="W28" s="101"/>
      <c r="X28" s="1"/>
      <c r="Y28" s="1"/>
      <c r="Z28" s="1"/>
      <c r="AA28" s="1"/>
      <c r="AB28" s="1"/>
      <c r="AC28" s="1"/>
      <c r="AD28" s="1"/>
    </row>
    <row x14ac:dyDescent="0.25" r="29" customHeight="1" ht="18.75">
      <c r="A29" s="33">
        <f>+BD!AA30</f>
      </c>
      <c r="B29" s="94">
        <f>IF(A29=0,"",VLOOKUP(+VLOOKUP(A29,Tabla3[],'Registro de Operaciones'!$F$6,FALSE),DOI_Tipo,2,FALSE))</f>
      </c>
      <c r="C29" s="95">
        <f>IF(A29=0,"",+VLOOKUP(A29,Tabla3[#All],'Registro de Operaciones'!$G$6,FALSE))</f>
      </c>
      <c r="D29" s="99">
        <f>IF(A29=0,"",VLOOKUP(+VLOOKUP(A29,Tabla3[],'Registro de Operaciones'!$N$6,FALSE),Tipo_Abono,2,FALSE))</f>
        <v>25568.791666666668</v>
      </c>
      <c r="E29" s="95">
        <f>IF(A29=0,"",+VLOOKUP(A29,Tabla3[],'Registro de Operaciones'!$O$6,FALSE))</f>
      </c>
      <c r="F29" s="95">
        <f>IF(A29=0,"",+VLOOKUP(A29,Tabla3[],'Registro de Operaciones'!$H$6,FALSE))</f>
      </c>
      <c r="G29" s="97">
        <f>IF(A29=0,"",ROUND(+VLOOKUP(A29,Tabla3[],'Registro de Operaciones'!$X$6,FALSE),2))</f>
      </c>
      <c r="H29" s="96">
        <f>IF(A29=0,"",VLOOKUP(+VLOOKUP(A29,Tabla3[],'Registro de Operaciones'!$I$6,FALSE),Tipo_Recibo,2,FALSE))</f>
      </c>
      <c r="I29" s="95">
        <f>IF(A29=0,"",+VLOOKUP(A29,Tabla3[],'Registro de Operaciones'!$J$6,FALSE))</f>
      </c>
      <c r="J29" s="96">
        <f>+IF(A29&gt;0,"N","")</f>
      </c>
      <c r="K29" s="95">
        <f>IF(A29=0,"",+VLOOKUP(A29,Tabla3[],'Registro de Operaciones'!$L$6,FALSE))</f>
      </c>
      <c r="L29" s="96">
        <f>+IF(A29&gt;0,"E","")</f>
      </c>
      <c r="M29" s="100">
        <f>IF(A29=0,"",+VLOOKUP(A29,Tabla3[],'Registro de Operaciones'!$E$6,FALSE))</f>
      </c>
      <c r="N29" s="95">
        <f>+IF(A29&gt;0,"Nayrut Flores","")</f>
      </c>
      <c r="O29" s="1"/>
      <c r="P29" s="1"/>
      <c r="Q29" s="33">
        <f>+LEN(U29)</f>
      </c>
      <c r="R29" s="1"/>
      <c r="S29" s="1"/>
      <c r="T29" s="1"/>
      <c r="U29" s="1"/>
      <c r="V29" s="1"/>
      <c r="W29" s="101"/>
      <c r="X29" s="1"/>
      <c r="Y29" s="1"/>
      <c r="Z29" s="1"/>
      <c r="AA29" s="1"/>
      <c r="AB29" s="1"/>
      <c r="AC29" s="1"/>
      <c r="AD29" s="1"/>
    </row>
    <row x14ac:dyDescent="0.25" r="30" customHeight="1" ht="18.75">
      <c r="A30" s="33">
        <f>+BD!AA31</f>
      </c>
      <c r="B30" s="94">
        <f>IF(A30=0,"",VLOOKUP(+VLOOKUP(A30,Tabla3[],'Registro de Operaciones'!$F$6,FALSE),DOI_Tipo,2,FALSE))</f>
      </c>
      <c r="C30" s="95">
        <f>IF(A30=0,"",+VLOOKUP(A30,Tabla3[#All],'Registro de Operaciones'!$G$6,FALSE))</f>
      </c>
      <c r="D30" s="99">
        <f>IF(A30=0,"",VLOOKUP(+VLOOKUP(A30,Tabla3[],'Registro de Operaciones'!$N$6,FALSE),Tipo_Abono,2,FALSE))</f>
        <v>25568.791666666668</v>
      </c>
      <c r="E30" s="95">
        <f>IF(A30=0,"",+VLOOKUP(A30,Tabla3[],'Registro de Operaciones'!$O$6,FALSE))</f>
      </c>
      <c r="F30" s="95">
        <f>IF(A30=0,"",+VLOOKUP(A30,Tabla3[],'Registro de Operaciones'!$H$6,FALSE))</f>
      </c>
      <c r="G30" s="97">
        <f>IF(A30=0,"",ROUND(+VLOOKUP(A30,Tabla3[],'Registro de Operaciones'!$X$6,FALSE),2))</f>
      </c>
      <c r="H30" s="96">
        <f>IF(A30=0,"",VLOOKUP(+VLOOKUP(A30,Tabla3[],'Registro de Operaciones'!$I$6,FALSE),Tipo_Recibo,2,FALSE))</f>
      </c>
      <c r="I30" s="95">
        <f>IF(A30=0,"",+VLOOKUP(A30,Tabla3[],'Registro de Operaciones'!$J$6,FALSE))</f>
      </c>
      <c r="J30" s="96">
        <f>+IF(A30&gt;0,"N","")</f>
      </c>
      <c r="K30" s="95">
        <f>IF(A30=0,"",+VLOOKUP(A30,Tabla3[],'Registro de Operaciones'!$L$6,FALSE))</f>
      </c>
      <c r="L30" s="96">
        <f>+IF(A30&gt;0,"E","")</f>
      </c>
      <c r="M30" s="100">
        <f>IF(A30=0,"",+VLOOKUP(A30,Tabla3[],'Registro de Operaciones'!$E$6,FALSE))</f>
      </c>
      <c r="N30" s="95">
        <f>+IF(A30&gt;0,"Nayrut Flores","")</f>
      </c>
      <c r="O30" s="1"/>
      <c r="P30" s="1"/>
      <c r="Q30" s="33">
        <f>+LEN(U30)</f>
      </c>
      <c r="R30" s="1"/>
      <c r="S30" s="1"/>
      <c r="T30" s="1"/>
      <c r="U30" s="1"/>
      <c r="V30" s="1"/>
      <c r="W30" s="101"/>
      <c r="X30" s="1"/>
      <c r="Y30" s="1"/>
      <c r="Z30" s="1"/>
      <c r="AA30" s="1"/>
      <c r="AB30" s="1"/>
      <c r="AC30" s="1"/>
      <c r="AD30" s="1"/>
    </row>
    <row x14ac:dyDescent="0.25" r="31" customHeight="1" ht="18.75">
      <c r="A31" s="33">
        <f>+BD!AA32</f>
      </c>
      <c r="B31" s="94">
        <f>IF(A31=0,"",VLOOKUP(+VLOOKUP(A31,Tabla3[],'Registro de Operaciones'!$F$6,FALSE),DOI_Tipo,2,FALSE))</f>
      </c>
      <c r="C31" s="95">
        <f>IF(A31=0,"",+VLOOKUP(A31,Tabla3[#All],'Registro de Operaciones'!$G$6,FALSE))</f>
      </c>
      <c r="D31" s="99">
        <f>IF(A31=0,"",VLOOKUP(+VLOOKUP(A31,Tabla3[],'Registro de Operaciones'!$N$6,FALSE),Tipo_Abono,2,FALSE))</f>
        <v>25568.791666666668</v>
      </c>
      <c r="E31" s="95">
        <f>IF(A31=0,"",+VLOOKUP(A31,Tabla3[],'Registro de Operaciones'!$O$6,FALSE))</f>
      </c>
      <c r="F31" s="95">
        <f>IF(A31=0,"",+VLOOKUP(A31,Tabla3[],'Registro de Operaciones'!$H$6,FALSE))</f>
      </c>
      <c r="G31" s="97">
        <f>IF(A31=0,"",ROUND(+VLOOKUP(A31,Tabla3[],'Registro de Operaciones'!$X$6,FALSE),2))</f>
      </c>
      <c r="H31" s="96">
        <f>IF(A31=0,"",VLOOKUP(+VLOOKUP(A31,Tabla3[],'Registro de Operaciones'!$I$6,FALSE),Tipo_Recibo,2,FALSE))</f>
      </c>
      <c r="I31" s="95">
        <f>IF(A31=0,"",+VLOOKUP(A31,Tabla3[],'Registro de Operaciones'!$J$6,FALSE))</f>
      </c>
      <c r="J31" s="96">
        <f>+IF(A31&gt;0,"N","")</f>
      </c>
      <c r="K31" s="95">
        <f>IF(A31=0,"",+VLOOKUP(A31,Tabla3[],'Registro de Operaciones'!$L$6,FALSE))</f>
      </c>
      <c r="L31" s="96">
        <f>+IF(A31&gt;0,"E","")</f>
      </c>
      <c r="M31" s="100">
        <f>IF(A31=0,"",+VLOOKUP(A31,Tabla3[],'Registro de Operaciones'!$E$6,FALSE))</f>
      </c>
      <c r="N31" s="95">
        <f>+IF(A31&gt;0,"Nayrut Flores","")</f>
      </c>
      <c r="O31" s="1"/>
      <c r="P31" s="1"/>
      <c r="Q31" s="33">
        <f>+LEN(U31)</f>
      </c>
      <c r="R31" s="1"/>
      <c r="S31" s="1"/>
      <c r="T31" s="1"/>
      <c r="U31" s="1"/>
      <c r="V31" s="1"/>
      <c r="W31" s="101"/>
      <c r="X31" s="1"/>
      <c r="Y31" s="1"/>
      <c r="Z31" s="1"/>
      <c r="AA31" s="1"/>
      <c r="AB31" s="1"/>
      <c r="AC31" s="1"/>
      <c r="AD31" s="1"/>
    </row>
    <row x14ac:dyDescent="0.25" r="32" customHeight="1" ht="18.75">
      <c r="A32" s="33">
        <f>+BD!AA33</f>
      </c>
      <c r="B32" s="94">
        <f>IF(A32=0,"",VLOOKUP(+VLOOKUP(A32,Tabla3[],'Registro de Operaciones'!$F$6,FALSE),DOI_Tipo,2,FALSE))</f>
      </c>
      <c r="C32" s="95">
        <f>IF(A32=0,"",+VLOOKUP(A32,Tabla3[#All],'Registro de Operaciones'!$G$6,FALSE))</f>
      </c>
      <c r="D32" s="99">
        <f>IF(A32=0,"",VLOOKUP(+VLOOKUP(A32,Tabla3[],'Registro de Operaciones'!$N$6,FALSE),Tipo_Abono,2,FALSE))</f>
        <v>25568.791666666668</v>
      </c>
      <c r="E32" s="95">
        <f>IF(A32=0,"",+VLOOKUP(A32,Tabla3[],'Registro de Operaciones'!$O$6,FALSE))</f>
      </c>
      <c r="F32" s="95">
        <f>IF(A32=0,"",+VLOOKUP(A32,Tabla3[],'Registro de Operaciones'!$H$6,FALSE))</f>
      </c>
      <c r="G32" s="97">
        <f>IF(A32=0,"",ROUND(+VLOOKUP(A32,Tabla3[],'Registro de Operaciones'!$X$6,FALSE),2))</f>
      </c>
      <c r="H32" s="96">
        <f>IF(A32=0,"",VLOOKUP(+VLOOKUP(A32,Tabla3[],'Registro de Operaciones'!$I$6,FALSE),Tipo_Recibo,2,FALSE))</f>
      </c>
      <c r="I32" s="95">
        <f>IF(A32=0,"",+VLOOKUP(A32,Tabla3[],'Registro de Operaciones'!$J$6,FALSE))</f>
      </c>
      <c r="J32" s="96">
        <f>+IF(A32&gt;0,"N","")</f>
      </c>
      <c r="K32" s="95">
        <f>IF(A32=0,"",+VLOOKUP(A32,Tabla3[],'Registro de Operaciones'!$L$6,FALSE))</f>
      </c>
      <c r="L32" s="96">
        <f>+IF(A32&gt;0,"E","")</f>
      </c>
      <c r="M32" s="100">
        <f>IF(A32=0,"",+VLOOKUP(A32,Tabla3[],'Registro de Operaciones'!$E$6,FALSE))</f>
      </c>
      <c r="N32" s="95">
        <f>+IF(A32&gt;0,"Nayrut Flores","")</f>
      </c>
      <c r="O32" s="1"/>
      <c r="P32" s="1"/>
      <c r="Q32" s="33">
        <f>+LEN(U32)</f>
      </c>
      <c r="R32" s="1"/>
      <c r="S32" s="1"/>
      <c r="T32" s="1"/>
      <c r="U32" s="1"/>
      <c r="V32" s="1"/>
      <c r="W32" s="101"/>
      <c r="X32" s="1"/>
      <c r="Y32" s="1"/>
      <c r="Z32" s="1"/>
      <c r="AA32" s="1"/>
      <c r="AB32" s="1"/>
      <c r="AC32" s="1"/>
      <c r="AD32" s="1"/>
    </row>
    <row x14ac:dyDescent="0.25" r="33" customHeight="1" ht="18.75">
      <c r="A33" s="33">
        <f>+BD!AA34</f>
      </c>
      <c r="B33" s="94">
        <f>IF(A33=0,"",VLOOKUP(+VLOOKUP(A33,Tabla3[],'Registro de Operaciones'!$F$6,FALSE),DOI_Tipo,2,FALSE))</f>
      </c>
      <c r="C33" s="95">
        <f>IF(A33=0,"",+VLOOKUP(A33,Tabla3[#All],'Registro de Operaciones'!$G$6,FALSE))</f>
      </c>
      <c r="D33" s="99">
        <f>IF(A33=0,"",VLOOKUP(+VLOOKUP(A33,Tabla3[],'Registro de Operaciones'!$N$6,FALSE),Tipo_Abono,2,FALSE))</f>
        <v>25568.791666666668</v>
      </c>
      <c r="E33" s="95">
        <f>IF(A33=0,"",+VLOOKUP(A33,Tabla3[],'Registro de Operaciones'!$O$6,FALSE))</f>
      </c>
      <c r="F33" s="95">
        <f>IF(A33=0,"",+VLOOKUP(A33,Tabla3[],'Registro de Operaciones'!$H$6,FALSE))</f>
      </c>
      <c r="G33" s="97">
        <f>IF(A33=0,"",ROUND(+VLOOKUP(A33,Tabla3[],'Registro de Operaciones'!$X$6,FALSE),2))</f>
      </c>
      <c r="H33" s="96">
        <f>IF(A33=0,"",VLOOKUP(+VLOOKUP(A33,Tabla3[],'Registro de Operaciones'!$I$6,FALSE),Tipo_Recibo,2,FALSE))</f>
      </c>
      <c r="I33" s="95">
        <f>IF(A33=0,"",+VLOOKUP(A33,Tabla3[],'Registro de Operaciones'!$J$6,FALSE))</f>
      </c>
      <c r="J33" s="96">
        <f>+IF(A33&gt;0,"N","")</f>
      </c>
      <c r="K33" s="95">
        <f>IF(A33=0,"",+VLOOKUP(A33,Tabla3[],'Registro de Operaciones'!$L$6,FALSE))</f>
      </c>
      <c r="L33" s="96">
        <f>+IF(A33&gt;0,"E","")</f>
      </c>
      <c r="M33" s="100">
        <f>IF(A33=0,"",+VLOOKUP(A33,Tabla3[],'Registro de Operaciones'!$E$6,FALSE))</f>
      </c>
      <c r="N33" s="95">
        <f>+IF(A33&gt;0,"Nayrut Flores","")</f>
      </c>
      <c r="O33" s="1"/>
      <c r="P33" s="1"/>
      <c r="Q33" s="33">
        <f>+LEN(U33)</f>
      </c>
      <c r="R33" s="1"/>
      <c r="S33" s="1"/>
      <c r="T33" s="1"/>
      <c r="U33" s="1"/>
      <c r="V33" s="1"/>
      <c r="W33" s="101"/>
      <c r="X33" s="1"/>
      <c r="Y33" s="1"/>
      <c r="Z33" s="1"/>
      <c r="AA33" s="1"/>
      <c r="AB33" s="1"/>
      <c r="AC33" s="1"/>
      <c r="AD33" s="1"/>
    </row>
    <row x14ac:dyDescent="0.25" r="34" customHeight="1" ht="18.75">
      <c r="A34" s="33">
        <f>+BD!AA35</f>
      </c>
      <c r="B34" s="94">
        <f>IF(A34=0,"",VLOOKUP(+VLOOKUP(A34,Tabla3[],'Registro de Operaciones'!$F$6,FALSE),DOI_Tipo,2,FALSE))</f>
      </c>
      <c r="C34" s="95">
        <f>IF(A34=0,"",+VLOOKUP(A34,Tabla3[#All],'Registro de Operaciones'!$G$6,FALSE))</f>
      </c>
      <c r="D34" s="99">
        <f>IF(A34=0,"",VLOOKUP(+VLOOKUP(A34,Tabla3[],'Registro de Operaciones'!$N$6,FALSE),Tipo_Abono,2,FALSE))</f>
        <v>25568.791666666668</v>
      </c>
      <c r="E34" s="95">
        <f>IF(A34=0,"",+VLOOKUP(A34,Tabla3[],'Registro de Operaciones'!$O$6,FALSE))</f>
      </c>
      <c r="F34" s="95">
        <f>IF(A34=0,"",+VLOOKUP(A34,Tabla3[],'Registro de Operaciones'!$H$6,FALSE))</f>
      </c>
      <c r="G34" s="97">
        <f>IF(A34=0,"",ROUND(+VLOOKUP(A34,Tabla3[],'Registro de Operaciones'!$X$6,FALSE),2))</f>
      </c>
      <c r="H34" s="96">
        <f>IF(A34=0,"",VLOOKUP(+VLOOKUP(A34,Tabla3[],'Registro de Operaciones'!$I$6,FALSE),Tipo_Recibo,2,FALSE))</f>
      </c>
      <c r="I34" s="95">
        <f>IF(A34=0,"",+VLOOKUP(A34,Tabla3[],'Registro de Operaciones'!$J$6,FALSE))</f>
      </c>
      <c r="J34" s="96">
        <f>+IF(A34&gt;0,"N","")</f>
      </c>
      <c r="K34" s="95">
        <f>IF(A34=0,"",+VLOOKUP(A34,Tabla3[],'Registro de Operaciones'!$L$6,FALSE))</f>
      </c>
      <c r="L34" s="96">
        <f>+IF(A34&gt;0,"E","")</f>
      </c>
      <c r="M34" s="100">
        <f>IF(A34=0,"",+VLOOKUP(A34,Tabla3[],'Registro de Operaciones'!$E$6,FALSE))</f>
      </c>
      <c r="N34" s="95">
        <f>+IF(A34&gt;0,"Nayrut Flores","")</f>
      </c>
      <c r="O34" s="1"/>
      <c r="P34" s="1"/>
      <c r="Q34" s="33">
        <f>+LEN(U34)</f>
      </c>
      <c r="R34" s="1"/>
      <c r="S34" s="1"/>
      <c r="T34" s="1"/>
      <c r="U34" s="1"/>
      <c r="V34" s="1"/>
      <c r="W34" s="101"/>
      <c r="X34" s="1"/>
      <c r="Y34" s="1"/>
      <c r="Z34" s="1"/>
      <c r="AA34" s="1"/>
      <c r="AB34" s="1"/>
      <c r="AC34" s="1"/>
      <c r="AD34" s="1"/>
    </row>
    <row x14ac:dyDescent="0.25" r="35" customHeight="1" ht="18.75">
      <c r="A35" s="33">
        <f>+BD!AA36</f>
      </c>
      <c r="B35" s="94">
        <f>IF(A35=0,"",VLOOKUP(+VLOOKUP(A35,Tabla3[],'Registro de Operaciones'!$F$6,FALSE),DOI_Tipo,2,FALSE))</f>
      </c>
      <c r="C35" s="95">
        <f>IF(A35=0,"",+VLOOKUP(A35,Tabla3[#All],'Registro de Operaciones'!$G$6,FALSE))</f>
      </c>
      <c r="D35" s="99">
        <f>IF(A35=0,"",VLOOKUP(+VLOOKUP(A35,Tabla3[],'Registro de Operaciones'!$N$6,FALSE),Tipo_Abono,2,FALSE))</f>
        <v>25568.791666666668</v>
      </c>
      <c r="E35" s="95">
        <f>IF(A35=0,"",+VLOOKUP(A35,Tabla3[],'Registro de Operaciones'!$O$6,FALSE))</f>
      </c>
      <c r="F35" s="95">
        <f>IF(A35=0,"",+VLOOKUP(A35,Tabla3[],'Registro de Operaciones'!$H$6,FALSE))</f>
      </c>
      <c r="G35" s="97">
        <f>IF(A35=0,"",ROUND(+VLOOKUP(A35,Tabla3[],'Registro de Operaciones'!$X$6,FALSE),2))</f>
      </c>
      <c r="H35" s="96">
        <f>IF(A35=0,"",VLOOKUP(+VLOOKUP(A35,Tabla3[],'Registro de Operaciones'!$I$6,FALSE),Tipo_Recibo,2,FALSE))</f>
      </c>
      <c r="I35" s="95">
        <f>IF(A35=0,"",+VLOOKUP(A35,Tabla3[],'Registro de Operaciones'!$J$6,FALSE))</f>
      </c>
      <c r="J35" s="96">
        <f>+IF(A35&gt;0,"N","")</f>
      </c>
      <c r="K35" s="95">
        <f>IF(A35=0,"",+VLOOKUP(A35,Tabla3[],'Registro de Operaciones'!$L$6,FALSE))</f>
      </c>
      <c r="L35" s="96">
        <f>+IF(A35&gt;0,"E","")</f>
      </c>
      <c r="M35" s="100">
        <f>IF(A35=0,"",+VLOOKUP(A35,Tabla3[],'Registro de Operaciones'!$E$6,FALSE))</f>
      </c>
      <c r="N35" s="95">
        <f>+IF(A35&gt;0,"Nayrut Flores","")</f>
      </c>
      <c r="O35" s="1"/>
      <c r="P35" s="1"/>
      <c r="Q35" s="33">
        <f>+LEN(U35)</f>
      </c>
      <c r="R35" s="1"/>
      <c r="S35" s="1"/>
      <c r="T35" s="1"/>
      <c r="U35" s="1"/>
      <c r="V35" s="1"/>
      <c r="W35" s="101"/>
      <c r="X35" s="1"/>
      <c r="Y35" s="1"/>
      <c r="Z35" s="1"/>
      <c r="AA35" s="1"/>
      <c r="AB35" s="1"/>
      <c r="AC35" s="1"/>
      <c r="AD35" s="1"/>
    </row>
    <row x14ac:dyDescent="0.25" r="36" customHeight="1" ht="18.75">
      <c r="A36" s="33">
        <f>+BD!AA37</f>
      </c>
      <c r="B36" s="94">
        <f>IF(A36=0,"",VLOOKUP(+VLOOKUP(A36,Tabla3[],'Registro de Operaciones'!$F$6,FALSE),DOI_Tipo,2,FALSE))</f>
      </c>
      <c r="C36" s="95">
        <f>IF(A36=0,"",+VLOOKUP(A36,Tabla3[#All],'Registro de Operaciones'!$G$6,FALSE))</f>
      </c>
      <c r="D36" s="99">
        <f>IF(A36=0,"",VLOOKUP(+VLOOKUP(A36,Tabla3[],'Registro de Operaciones'!$N$6,FALSE),Tipo_Abono,2,FALSE))</f>
        <v>25568.791666666668</v>
      </c>
      <c r="E36" s="95">
        <f>IF(A36=0,"",+VLOOKUP(A36,Tabla3[],'Registro de Operaciones'!$O$6,FALSE))</f>
      </c>
      <c r="F36" s="95">
        <f>IF(A36=0,"",+VLOOKUP(A36,Tabla3[],'Registro de Operaciones'!$H$6,FALSE))</f>
      </c>
      <c r="G36" s="97">
        <f>IF(A36=0,"",ROUND(+VLOOKUP(A36,Tabla3[],'Registro de Operaciones'!$X$6,FALSE),2))</f>
      </c>
      <c r="H36" s="96">
        <f>IF(A36=0,"",VLOOKUP(+VLOOKUP(A36,Tabla3[],'Registro de Operaciones'!$I$6,FALSE),Tipo_Recibo,2,FALSE))</f>
      </c>
      <c r="I36" s="95">
        <f>IF(A36=0,"",+VLOOKUP(A36,Tabla3[],'Registro de Operaciones'!$J$6,FALSE))</f>
      </c>
      <c r="J36" s="96">
        <f>+IF(A36&gt;0,"N","")</f>
      </c>
      <c r="K36" s="95">
        <f>IF(A36=0,"",+VLOOKUP(A36,Tabla3[],'Registro de Operaciones'!$L$6,FALSE))</f>
      </c>
      <c r="L36" s="96">
        <f>+IF(A36&gt;0,"E","")</f>
      </c>
      <c r="M36" s="100">
        <f>IF(A36=0,"",+VLOOKUP(A36,Tabla3[],'Registro de Operaciones'!$E$6,FALSE))</f>
      </c>
      <c r="N36" s="95">
        <f>+IF(A36&gt;0,"Nayrut Flores","")</f>
      </c>
      <c r="O36" s="1"/>
      <c r="P36" s="1"/>
      <c r="Q36" s="33">
        <f>+LEN(U36)</f>
      </c>
      <c r="R36" s="1"/>
      <c r="S36" s="1"/>
      <c r="T36" s="1"/>
      <c r="U36" s="1"/>
      <c r="V36" s="1"/>
      <c r="W36" s="101"/>
      <c r="X36" s="1"/>
      <c r="Y36" s="1"/>
      <c r="Z36" s="1"/>
      <c r="AA36" s="1"/>
      <c r="AB36" s="1"/>
      <c r="AC36" s="1"/>
      <c r="AD36" s="1"/>
    </row>
    <row x14ac:dyDescent="0.25" r="37" customHeight="1" ht="18.75">
      <c r="A37" s="33">
        <f>+BD!AA38</f>
      </c>
      <c r="B37" s="94">
        <f>IF(A37=0,"",VLOOKUP(+VLOOKUP(A37,Tabla3[],'Registro de Operaciones'!$F$6,FALSE),DOI_Tipo,2,FALSE))</f>
      </c>
      <c r="C37" s="95">
        <f>IF(A37=0,"",+VLOOKUP(A37,Tabla3[#All],'Registro de Operaciones'!$G$6,FALSE))</f>
      </c>
      <c r="D37" s="99">
        <f>IF(A37=0,"",VLOOKUP(+VLOOKUP(A37,Tabla3[],'Registro de Operaciones'!$N$6,FALSE),Tipo_Abono,2,FALSE))</f>
        <v>25568.791666666668</v>
      </c>
      <c r="E37" s="95">
        <f>IF(A37=0,"",+VLOOKUP(A37,Tabla3[],'Registro de Operaciones'!$O$6,FALSE))</f>
      </c>
      <c r="F37" s="95">
        <f>IF(A37=0,"",+VLOOKUP(A37,Tabla3[],'Registro de Operaciones'!$H$6,FALSE))</f>
      </c>
      <c r="G37" s="97">
        <f>IF(A37=0,"",ROUND(+VLOOKUP(A37,Tabla3[],'Registro de Operaciones'!$X$6,FALSE),2))</f>
      </c>
      <c r="H37" s="96">
        <f>IF(A37=0,"",VLOOKUP(+VLOOKUP(A37,Tabla3[],'Registro de Operaciones'!$I$6,FALSE),Tipo_Recibo,2,FALSE))</f>
      </c>
      <c r="I37" s="95">
        <f>IF(A37=0,"",+VLOOKUP(A37,Tabla3[],'Registro de Operaciones'!$J$6,FALSE))</f>
      </c>
      <c r="J37" s="96">
        <f>+IF(A37&gt;0,"N","")</f>
      </c>
      <c r="K37" s="95">
        <f>IF(A37=0,"",+VLOOKUP(A37,Tabla3[],'Registro de Operaciones'!$L$6,FALSE))</f>
      </c>
      <c r="L37" s="96">
        <f>+IF(A37&gt;0,"E","")</f>
      </c>
      <c r="M37" s="100">
        <f>IF(A37=0,"",+VLOOKUP(A37,Tabla3[],'Registro de Operaciones'!$E$6,FALSE))</f>
      </c>
      <c r="N37" s="95">
        <f>+IF(A37&gt;0,"Nayrut Flores","")</f>
      </c>
      <c r="O37" s="1"/>
      <c r="P37" s="1"/>
      <c r="Q37" s="33">
        <f>+LEN(U37)</f>
      </c>
      <c r="R37" s="1"/>
      <c r="S37" s="1"/>
      <c r="T37" s="1"/>
      <c r="U37" s="1"/>
      <c r="V37" s="1"/>
      <c r="W37" s="101"/>
      <c r="X37" s="1"/>
      <c r="Y37" s="1"/>
      <c r="Z37" s="1"/>
      <c r="AA37" s="1"/>
      <c r="AB37" s="1"/>
      <c r="AC37" s="1"/>
      <c r="AD37" s="1"/>
    </row>
    <row x14ac:dyDescent="0.25" r="38" customHeight="1" ht="18.75">
      <c r="A38" s="33">
        <f>+BD!AA39</f>
      </c>
      <c r="B38" s="94">
        <f>IF(A38=0,"",VLOOKUP(+VLOOKUP(A38,Tabla3[],'Registro de Operaciones'!$F$6,FALSE),DOI_Tipo,2,FALSE))</f>
      </c>
      <c r="C38" s="95">
        <f>IF(A38=0,"",+VLOOKUP(A38,Tabla3[#All],'Registro de Operaciones'!$G$6,FALSE))</f>
      </c>
      <c r="D38" s="99">
        <f>IF(A38=0,"",VLOOKUP(+VLOOKUP(A38,Tabla3[],'Registro de Operaciones'!$N$6,FALSE),Tipo_Abono,2,FALSE))</f>
        <v>25568.791666666668</v>
      </c>
      <c r="E38" s="95">
        <f>IF(A38=0,"",+VLOOKUP(A38,Tabla3[],'Registro de Operaciones'!$O$6,FALSE))</f>
      </c>
      <c r="F38" s="95">
        <f>IF(A38=0,"",+VLOOKUP(A38,Tabla3[],'Registro de Operaciones'!$H$6,FALSE))</f>
      </c>
      <c r="G38" s="97">
        <f>IF(A38=0,"",ROUND(+VLOOKUP(A38,Tabla3[],'Registro de Operaciones'!$X$6,FALSE),2))</f>
      </c>
      <c r="H38" s="96">
        <f>IF(A38=0,"",VLOOKUP(+VLOOKUP(A38,Tabla3[],'Registro de Operaciones'!$I$6,FALSE),Tipo_Recibo,2,FALSE))</f>
      </c>
      <c r="I38" s="95">
        <f>IF(A38=0,"",+VLOOKUP(A38,Tabla3[],'Registro de Operaciones'!$J$6,FALSE))</f>
      </c>
      <c r="J38" s="96">
        <f>+IF(A38&gt;0,"N","")</f>
      </c>
      <c r="K38" s="95">
        <f>IF(A38=0,"",+VLOOKUP(A38,Tabla3[],'Registro de Operaciones'!$L$6,FALSE))</f>
      </c>
      <c r="L38" s="96">
        <f>+IF(A38&gt;0,"E","")</f>
      </c>
      <c r="M38" s="100">
        <f>IF(A38=0,"",+VLOOKUP(A38,Tabla3[],'Registro de Operaciones'!$E$6,FALSE))</f>
      </c>
      <c r="N38" s="95">
        <f>+IF(A38&gt;0,"Nayrut Flores","")</f>
      </c>
      <c r="O38" s="1"/>
      <c r="P38" s="1"/>
      <c r="Q38" s="33">
        <f>+LEN(U38)</f>
      </c>
      <c r="R38" s="1"/>
      <c r="S38" s="1"/>
      <c r="T38" s="1"/>
      <c r="U38" s="1"/>
      <c r="V38" s="1"/>
      <c r="W38" s="101"/>
      <c r="X38" s="1"/>
      <c r="Y38" s="1"/>
      <c r="Z38" s="1"/>
      <c r="AA38" s="1"/>
      <c r="AB38" s="1"/>
      <c r="AC38" s="1"/>
      <c r="AD38" s="1"/>
    </row>
    <row x14ac:dyDescent="0.25" r="39" customHeight="1" ht="18.75">
      <c r="A39" s="33">
        <f>+BD!AA40</f>
      </c>
      <c r="B39" s="94">
        <f>IF(A39=0,"",VLOOKUP(+VLOOKUP(A39,Tabla3[],'Registro de Operaciones'!$F$6,FALSE),DOI_Tipo,2,FALSE))</f>
      </c>
      <c r="C39" s="95">
        <f>IF(A39=0,"",+VLOOKUP(A39,Tabla3[#All],'Registro de Operaciones'!$G$6,FALSE))</f>
      </c>
      <c r="D39" s="99">
        <f>IF(A39=0,"",VLOOKUP(+VLOOKUP(A39,Tabla3[],'Registro de Operaciones'!$N$6,FALSE),Tipo_Abono,2,FALSE))</f>
        <v>25568.791666666668</v>
      </c>
      <c r="E39" s="95">
        <f>IF(A39=0,"",+VLOOKUP(A39,Tabla3[],'Registro de Operaciones'!$O$6,FALSE))</f>
      </c>
      <c r="F39" s="95">
        <f>IF(A39=0,"",+VLOOKUP(A39,Tabla3[],'Registro de Operaciones'!$H$6,FALSE))</f>
      </c>
      <c r="G39" s="97">
        <f>IF(A39=0,"",ROUND(+VLOOKUP(A39,Tabla3[],'Registro de Operaciones'!$X$6,FALSE),2))</f>
      </c>
      <c r="H39" s="96">
        <f>IF(A39=0,"",VLOOKUP(+VLOOKUP(A39,Tabla3[],'Registro de Operaciones'!$I$6,FALSE),Tipo_Recibo,2,FALSE))</f>
      </c>
      <c r="I39" s="95">
        <f>IF(A39=0,"",+VLOOKUP(A39,Tabla3[],'Registro de Operaciones'!$J$6,FALSE))</f>
      </c>
      <c r="J39" s="96">
        <f>+IF(A39&gt;0,"N","")</f>
      </c>
      <c r="K39" s="95">
        <f>IF(A39=0,"",+VLOOKUP(A39,Tabla3[],'Registro de Operaciones'!$L$6,FALSE))</f>
      </c>
      <c r="L39" s="96">
        <f>+IF(A39&gt;0,"E","")</f>
      </c>
      <c r="M39" s="100">
        <f>IF(A39=0,"",+VLOOKUP(A39,Tabla3[],'Registro de Operaciones'!$E$6,FALSE))</f>
      </c>
      <c r="N39" s="95">
        <f>+IF(A39&gt;0,"Nayrut Flores","")</f>
      </c>
      <c r="O39" s="1"/>
      <c r="P39" s="1"/>
      <c r="Q39" s="33">
        <f>+LEN(U39)</f>
      </c>
      <c r="R39" s="1"/>
      <c r="S39" s="1"/>
      <c r="T39" s="1"/>
      <c r="U39" s="1"/>
      <c r="V39" s="1"/>
      <c r="W39" s="101"/>
      <c r="X39" s="1"/>
      <c r="Y39" s="1"/>
      <c r="Z39" s="1"/>
      <c r="AA39" s="1"/>
      <c r="AB39" s="1"/>
      <c r="AC39" s="1"/>
      <c r="AD39" s="1"/>
    </row>
    <row x14ac:dyDescent="0.25" r="40" customHeight="1" ht="18.75">
      <c r="A40" s="33">
        <f>+BD!AA41</f>
      </c>
      <c r="B40" s="94">
        <f>IF(A40=0,"",VLOOKUP(+VLOOKUP(A40,Tabla3[],'Registro de Operaciones'!$F$6,FALSE),DOI_Tipo,2,FALSE))</f>
      </c>
      <c r="C40" s="95">
        <f>IF(A40=0,"",+VLOOKUP(A40,Tabla3[#All],'Registro de Operaciones'!$G$6,FALSE))</f>
      </c>
      <c r="D40" s="99">
        <f>IF(A40=0,"",VLOOKUP(+VLOOKUP(A40,Tabla3[],'Registro de Operaciones'!$N$6,FALSE),Tipo_Abono,2,FALSE))</f>
        <v>25568.791666666668</v>
      </c>
      <c r="E40" s="95">
        <f>IF(A40=0,"",+VLOOKUP(A40,Tabla3[],'Registro de Operaciones'!$O$6,FALSE))</f>
      </c>
      <c r="F40" s="95">
        <f>IF(A40=0,"",+VLOOKUP(A40,Tabla3[],'Registro de Operaciones'!$H$6,FALSE))</f>
      </c>
      <c r="G40" s="97">
        <f>IF(A40=0,"",ROUND(+VLOOKUP(A40,Tabla3[],'Registro de Operaciones'!$X$6,FALSE),2))</f>
      </c>
      <c r="H40" s="96">
        <f>IF(A40=0,"",VLOOKUP(+VLOOKUP(A40,Tabla3[],'Registro de Operaciones'!$I$6,FALSE),Tipo_Recibo,2,FALSE))</f>
      </c>
      <c r="I40" s="95">
        <f>IF(A40=0,"",+VLOOKUP(A40,Tabla3[],'Registro de Operaciones'!$J$6,FALSE))</f>
      </c>
      <c r="J40" s="96">
        <f>+IF(A40&gt;0,"N","")</f>
      </c>
      <c r="K40" s="95">
        <f>IF(A40=0,"",+VLOOKUP(A40,Tabla3[],'Registro de Operaciones'!$L$6,FALSE))</f>
      </c>
      <c r="L40" s="96">
        <f>+IF(A40&gt;0,"E","")</f>
      </c>
      <c r="M40" s="100">
        <f>IF(A40=0,"",+VLOOKUP(A40,Tabla3[],'Registro de Operaciones'!$E$6,FALSE))</f>
      </c>
      <c r="N40" s="95">
        <f>+IF(A40&gt;0,"Nayrut Flores","")</f>
      </c>
      <c r="O40" s="1"/>
      <c r="P40" s="1"/>
      <c r="Q40" s="33">
        <f>+LEN(U40)</f>
      </c>
      <c r="R40" s="1"/>
      <c r="S40" s="1"/>
      <c r="T40" s="1"/>
      <c r="U40" s="1"/>
      <c r="V40" s="1"/>
      <c r="W40" s="101"/>
      <c r="X40" s="1"/>
      <c r="Y40" s="1"/>
      <c r="Z40" s="1"/>
      <c r="AA40" s="1"/>
      <c r="AB40" s="1"/>
      <c r="AC40" s="1"/>
      <c r="AD40" s="1"/>
    </row>
    <row x14ac:dyDescent="0.25" r="41" customHeight="1" ht="18.75">
      <c r="A41" s="33">
        <f>+BD!AA42</f>
      </c>
      <c r="B41" s="94">
        <f>IF(A41=0,"",VLOOKUP(+VLOOKUP(A41,Tabla3[],'Registro de Operaciones'!$F$6,FALSE),DOI_Tipo,2,FALSE))</f>
      </c>
      <c r="C41" s="95">
        <f>IF(A41=0,"",+VLOOKUP(A41,Tabla3[#All],'Registro de Operaciones'!$G$6,FALSE))</f>
      </c>
      <c r="D41" s="99">
        <f>IF(A41=0,"",VLOOKUP(+VLOOKUP(A41,Tabla3[],'Registro de Operaciones'!$N$6,FALSE),Tipo_Abono,2,FALSE))</f>
        <v>25568.791666666668</v>
      </c>
      <c r="E41" s="95">
        <f>IF(A41=0,"",+VLOOKUP(A41,Tabla3[],'Registro de Operaciones'!$O$6,FALSE))</f>
      </c>
      <c r="F41" s="95">
        <f>IF(A41=0,"",+VLOOKUP(A41,Tabla3[],'Registro de Operaciones'!$H$6,FALSE))</f>
      </c>
      <c r="G41" s="97">
        <f>IF(A41=0,"",ROUND(+VLOOKUP(A41,Tabla3[],'Registro de Operaciones'!$X$6,FALSE),2))</f>
      </c>
      <c r="H41" s="96">
        <f>IF(A41=0,"",VLOOKUP(+VLOOKUP(A41,Tabla3[],'Registro de Operaciones'!$I$6,FALSE),Tipo_Recibo,2,FALSE))</f>
      </c>
      <c r="I41" s="95">
        <f>IF(A41=0,"",+VLOOKUP(A41,Tabla3[],'Registro de Operaciones'!$J$6,FALSE))</f>
      </c>
      <c r="J41" s="96">
        <f>+IF(A41&gt;0,"N","")</f>
      </c>
      <c r="K41" s="95">
        <f>IF(A41=0,"",+VLOOKUP(A41,Tabla3[],'Registro de Operaciones'!$L$6,FALSE))</f>
      </c>
      <c r="L41" s="96">
        <f>+IF(A41&gt;0,"E","")</f>
      </c>
      <c r="M41" s="100">
        <f>IF(A41=0,"",+VLOOKUP(A41,Tabla3[],'Registro de Operaciones'!$E$6,FALSE))</f>
      </c>
      <c r="N41" s="95">
        <f>+IF(A41&gt;0,"Nayrut Flores","")</f>
      </c>
      <c r="O41" s="1"/>
      <c r="P41" s="1"/>
      <c r="Q41" s="33">
        <f>+LEN(U41)</f>
      </c>
      <c r="R41" s="1"/>
      <c r="S41" s="1"/>
      <c r="T41" s="1"/>
      <c r="U41" s="1"/>
      <c r="V41" s="1"/>
      <c r="W41" s="101"/>
      <c r="X41" s="1"/>
      <c r="Y41" s="1"/>
      <c r="Z41" s="1"/>
      <c r="AA41" s="1"/>
      <c r="AB41" s="1"/>
      <c r="AC41" s="1"/>
      <c r="AD41" s="1"/>
    </row>
    <row x14ac:dyDescent="0.25" r="42" customHeight="1" ht="18.75">
      <c r="A42" s="33">
        <f>+BD!AA43</f>
      </c>
      <c r="B42" s="94">
        <f>IF(A42=0,"",VLOOKUP(+VLOOKUP(A42,Tabla3[],'Registro de Operaciones'!$F$6,FALSE),DOI_Tipo,2,FALSE))</f>
      </c>
      <c r="C42" s="95">
        <f>IF(A42=0,"",+VLOOKUP(A42,Tabla3[#All],'Registro de Operaciones'!$G$6,FALSE))</f>
      </c>
      <c r="D42" s="99">
        <f>IF(A42=0,"",VLOOKUP(+VLOOKUP(A42,Tabla3[],'Registro de Operaciones'!$N$6,FALSE),Tipo_Abono,2,FALSE))</f>
        <v>25568.791666666668</v>
      </c>
      <c r="E42" s="95">
        <f>IF(A42=0,"",+VLOOKUP(A42,Tabla3[],'Registro de Operaciones'!$O$6,FALSE))</f>
      </c>
      <c r="F42" s="95">
        <f>IF(A42=0,"",+VLOOKUP(A42,Tabla3[],'Registro de Operaciones'!$H$6,FALSE))</f>
      </c>
      <c r="G42" s="97">
        <f>IF(A42=0,"",ROUND(+VLOOKUP(A42,Tabla3[],'Registro de Operaciones'!$X$6,FALSE),2))</f>
      </c>
      <c r="H42" s="96">
        <f>IF(A42=0,"",VLOOKUP(+VLOOKUP(A42,Tabla3[],'Registro de Operaciones'!$I$6,FALSE),Tipo_Recibo,2,FALSE))</f>
      </c>
      <c r="I42" s="95">
        <f>IF(A42=0,"",+VLOOKUP(A42,Tabla3[],'Registro de Operaciones'!$J$6,FALSE))</f>
      </c>
      <c r="J42" s="96">
        <f>+IF(A42&gt;0,"N","")</f>
      </c>
      <c r="K42" s="95">
        <f>IF(A42=0,"",+VLOOKUP(A42,Tabla3[],'Registro de Operaciones'!$L$6,FALSE))</f>
      </c>
      <c r="L42" s="96">
        <f>+IF(A42&gt;0,"E","")</f>
      </c>
      <c r="M42" s="100">
        <f>IF(A42=0,"",+VLOOKUP(A42,Tabla3[],'Registro de Operaciones'!$E$6,FALSE))</f>
      </c>
      <c r="N42" s="95">
        <f>+IF(A42&gt;0,"Nayrut Flores","")</f>
      </c>
      <c r="O42" s="1"/>
      <c r="P42" s="1"/>
      <c r="Q42" s="33">
        <f>+LEN(U42)</f>
      </c>
      <c r="R42" s="1"/>
      <c r="S42" s="1"/>
      <c r="T42" s="1"/>
      <c r="U42" s="1"/>
      <c r="V42" s="1"/>
      <c r="W42" s="101"/>
      <c r="X42" s="1"/>
      <c r="Y42" s="1"/>
      <c r="Z42" s="1"/>
      <c r="AA42" s="1"/>
      <c r="AB42" s="1"/>
      <c r="AC42" s="1"/>
      <c r="AD42" s="1"/>
    </row>
    <row x14ac:dyDescent="0.25" r="43" customHeight="1" ht="18.75">
      <c r="A43" s="33">
        <f>+BD!AA44</f>
      </c>
      <c r="B43" s="94">
        <f>IF(A43=0,"",VLOOKUP(+VLOOKUP(A43,Tabla3[],'Registro de Operaciones'!$F$6,FALSE),DOI_Tipo,2,FALSE))</f>
      </c>
      <c r="C43" s="95">
        <f>IF(A43=0,"",+VLOOKUP(A43,Tabla3[#All],'Registro de Operaciones'!$G$6,FALSE))</f>
      </c>
      <c r="D43" s="99">
        <f>IF(A43=0,"",VLOOKUP(+VLOOKUP(A43,Tabla3[],'Registro de Operaciones'!$N$6,FALSE),Tipo_Abono,2,FALSE))</f>
        <v>25568.791666666668</v>
      </c>
      <c r="E43" s="95">
        <f>IF(A43=0,"",+VLOOKUP(A43,Tabla3[],'Registro de Operaciones'!$O$6,FALSE))</f>
      </c>
      <c r="F43" s="95">
        <f>IF(A43=0,"",+VLOOKUP(A43,Tabla3[],'Registro de Operaciones'!$H$6,FALSE))</f>
      </c>
      <c r="G43" s="97">
        <f>IF(A43=0,"",ROUND(+VLOOKUP(A43,Tabla3[],'Registro de Operaciones'!$X$6,FALSE),2))</f>
      </c>
      <c r="H43" s="96">
        <f>IF(A43=0,"",VLOOKUP(+VLOOKUP(A43,Tabla3[],'Registro de Operaciones'!$I$6,FALSE),Tipo_Recibo,2,FALSE))</f>
      </c>
      <c r="I43" s="95">
        <f>IF(A43=0,"",+VLOOKUP(A43,Tabla3[],'Registro de Operaciones'!$J$6,FALSE))</f>
      </c>
      <c r="J43" s="96">
        <f>+IF(A43&gt;0,"N","")</f>
      </c>
      <c r="K43" s="95">
        <f>IF(A43=0,"",+VLOOKUP(A43,Tabla3[],'Registro de Operaciones'!$L$6,FALSE))</f>
      </c>
      <c r="L43" s="96">
        <f>+IF(A43&gt;0,"E","")</f>
      </c>
      <c r="M43" s="100">
        <f>IF(A43=0,"",+VLOOKUP(A43,Tabla3[],'Registro de Operaciones'!$E$6,FALSE))</f>
      </c>
      <c r="N43" s="95">
        <f>+IF(A43&gt;0,"Nayrut Flores","")</f>
      </c>
      <c r="O43" s="1"/>
      <c r="P43" s="1"/>
      <c r="Q43" s="33">
        <f>+LEN(U43)</f>
      </c>
      <c r="R43" s="1"/>
      <c r="S43" s="1"/>
      <c r="T43" s="1"/>
      <c r="U43" s="1"/>
      <c r="V43" s="1"/>
      <c r="W43" s="101"/>
      <c r="X43" s="1"/>
      <c r="Y43" s="1"/>
      <c r="Z43" s="1"/>
      <c r="AA43" s="1"/>
      <c r="AB43" s="1"/>
      <c r="AC43" s="1"/>
      <c r="AD43" s="1"/>
    </row>
    <row x14ac:dyDescent="0.25" r="44" customHeight="1" ht="18.75">
      <c r="A44" s="33">
        <f>+BD!AA45</f>
      </c>
      <c r="B44" s="94">
        <f>IF(A44=0,"",VLOOKUP(+VLOOKUP(A44,Tabla3[],'Registro de Operaciones'!$F$6,FALSE),DOI_Tipo,2,FALSE))</f>
      </c>
      <c r="C44" s="95">
        <f>IF(A44=0,"",+VLOOKUP(A44,Tabla3[#All],'Registro de Operaciones'!$G$6,FALSE))</f>
      </c>
      <c r="D44" s="99">
        <f>IF(A44=0,"",VLOOKUP(+VLOOKUP(A44,Tabla3[],'Registro de Operaciones'!$N$6,FALSE),Tipo_Abono,2,FALSE))</f>
        <v>25568.791666666668</v>
      </c>
      <c r="E44" s="95">
        <f>IF(A44=0,"",+VLOOKUP(A44,Tabla3[],'Registro de Operaciones'!$O$6,FALSE))</f>
      </c>
      <c r="F44" s="95">
        <f>IF(A44=0,"",+VLOOKUP(A44,Tabla3[],'Registro de Operaciones'!$H$6,FALSE))</f>
      </c>
      <c r="G44" s="97">
        <f>IF(A44=0,"",ROUND(+VLOOKUP(A44,Tabla3[],'Registro de Operaciones'!$X$6,FALSE),2))</f>
      </c>
      <c r="H44" s="96">
        <f>IF(A44=0,"",VLOOKUP(+VLOOKUP(A44,Tabla3[],'Registro de Operaciones'!$I$6,FALSE),Tipo_Recibo,2,FALSE))</f>
      </c>
      <c r="I44" s="95">
        <f>IF(A44=0,"",+VLOOKUP(A44,Tabla3[],'Registro de Operaciones'!$J$6,FALSE))</f>
      </c>
      <c r="J44" s="96">
        <f>+IF(A44&gt;0,"N","")</f>
      </c>
      <c r="K44" s="95">
        <f>IF(A44=0,"",+VLOOKUP(A44,Tabla3[],'Registro de Operaciones'!$L$6,FALSE))</f>
      </c>
      <c r="L44" s="96">
        <f>+IF(A44&gt;0,"E","")</f>
      </c>
      <c r="M44" s="100">
        <f>IF(A44=0,"",+VLOOKUP(A44,Tabla3[],'Registro de Operaciones'!$E$6,FALSE))</f>
      </c>
      <c r="N44" s="95">
        <f>+IF(A44&gt;0,"Nayrut Flores","")</f>
      </c>
      <c r="O44" s="1"/>
      <c r="P44" s="1"/>
      <c r="Q44" s="33">
        <f>+LEN(U44)</f>
      </c>
      <c r="R44" s="1"/>
      <c r="S44" s="1"/>
      <c r="T44" s="1"/>
      <c r="U44" s="1"/>
      <c r="V44" s="1"/>
      <c r="W44" s="101"/>
      <c r="X44" s="1"/>
      <c r="Y44" s="1"/>
      <c r="Z44" s="1"/>
      <c r="AA44" s="1"/>
      <c r="AB44" s="1"/>
      <c r="AC44" s="1"/>
      <c r="AD44" s="1"/>
    </row>
    <row x14ac:dyDescent="0.25" r="45" customHeight="1" ht="18.75">
      <c r="A45" s="33">
        <f>+BD!AA46</f>
      </c>
      <c r="B45" s="94">
        <f>IF(A45=0,"",VLOOKUP(+VLOOKUP(A45,Tabla3[],'Registro de Operaciones'!$F$6,FALSE),DOI_Tipo,2,FALSE))</f>
      </c>
      <c r="C45" s="95">
        <f>IF(A45=0,"",+VLOOKUP(A45,Tabla3[#All],'Registro de Operaciones'!$G$6,FALSE))</f>
      </c>
      <c r="D45" s="99">
        <f>IF(A45=0,"",VLOOKUP(+VLOOKUP(A45,Tabla3[],'Registro de Operaciones'!$N$6,FALSE),Tipo_Abono,2,FALSE))</f>
        <v>25568.791666666668</v>
      </c>
      <c r="E45" s="95">
        <f>IF(A45=0,"",+VLOOKUP(A45,Tabla3[],'Registro de Operaciones'!$O$6,FALSE))</f>
      </c>
      <c r="F45" s="95">
        <f>IF(A45=0,"",+VLOOKUP(A45,Tabla3[],'Registro de Operaciones'!$H$6,FALSE))</f>
      </c>
      <c r="G45" s="97">
        <f>IF(A45=0,"",ROUND(+VLOOKUP(A45,Tabla3[],'Registro de Operaciones'!$X$6,FALSE),2))</f>
      </c>
      <c r="H45" s="96">
        <f>IF(A45=0,"",VLOOKUP(+VLOOKUP(A45,Tabla3[],'Registro de Operaciones'!$I$6,FALSE),Tipo_Recibo,2,FALSE))</f>
      </c>
      <c r="I45" s="95">
        <f>IF(A45=0,"",+VLOOKUP(A45,Tabla3[],'Registro de Operaciones'!$J$6,FALSE))</f>
      </c>
      <c r="J45" s="96">
        <f>+IF(A45&gt;0,"N","")</f>
      </c>
      <c r="K45" s="95">
        <f>IF(A45=0,"",+VLOOKUP(A45,Tabla3[],'Registro de Operaciones'!$L$6,FALSE))</f>
      </c>
      <c r="L45" s="96">
        <f>+IF(A45&gt;0,"E","")</f>
      </c>
      <c r="M45" s="100">
        <f>IF(A45=0,"",+VLOOKUP(A45,Tabla3[],'Registro de Operaciones'!$E$6,FALSE))</f>
      </c>
      <c r="N45" s="95">
        <f>+IF(A45&gt;0,"Nayrut Flores","")</f>
      </c>
      <c r="O45" s="1"/>
      <c r="P45" s="1"/>
      <c r="Q45" s="33">
        <f>+LEN(U45)</f>
      </c>
      <c r="R45" s="1"/>
      <c r="S45" s="1"/>
      <c r="T45" s="1"/>
      <c r="U45" s="1"/>
      <c r="V45" s="1"/>
      <c r="W45" s="101"/>
      <c r="X45" s="1"/>
      <c r="Y45" s="1"/>
      <c r="Z45" s="1"/>
      <c r="AA45" s="1"/>
      <c r="AB45" s="1"/>
      <c r="AC45" s="1"/>
      <c r="AD45" s="1"/>
    </row>
    <row x14ac:dyDescent="0.25" r="46" customHeight="1" ht="18.75">
      <c r="A46" s="33">
        <f>+BD!AA47</f>
      </c>
      <c r="B46" s="94">
        <f>IF(A46=0,"",VLOOKUP(+VLOOKUP(A46,Tabla3[],'Registro de Operaciones'!$F$6,FALSE),DOI_Tipo,2,FALSE))</f>
      </c>
      <c r="C46" s="95">
        <f>IF(A46=0,"",+VLOOKUP(A46,Tabla3[#All],'Registro de Operaciones'!$G$6,FALSE))</f>
      </c>
      <c r="D46" s="99">
        <f>IF(A46=0,"",VLOOKUP(+VLOOKUP(A46,Tabla3[],'Registro de Operaciones'!$N$6,FALSE),Tipo_Abono,2,FALSE))</f>
        <v>25568.791666666668</v>
      </c>
      <c r="E46" s="95">
        <f>IF(A46=0,"",+VLOOKUP(A46,Tabla3[],'Registro de Operaciones'!$O$6,FALSE))</f>
      </c>
      <c r="F46" s="95">
        <f>IF(A46=0,"",+VLOOKUP(A46,Tabla3[],'Registro de Operaciones'!$H$6,FALSE))</f>
      </c>
      <c r="G46" s="97">
        <f>IF(A46=0,"",ROUND(+VLOOKUP(A46,Tabla3[],'Registro de Operaciones'!$X$6,FALSE),2))</f>
      </c>
      <c r="H46" s="96">
        <f>IF(A46=0,"",VLOOKUP(+VLOOKUP(A46,Tabla3[],'Registro de Operaciones'!$I$6,FALSE),Tipo_Recibo,2,FALSE))</f>
      </c>
      <c r="I46" s="95">
        <f>IF(A46=0,"",+VLOOKUP(A46,Tabla3[],'Registro de Operaciones'!$J$6,FALSE))</f>
      </c>
      <c r="J46" s="96">
        <f>+IF(A46&gt;0,"N","")</f>
      </c>
      <c r="K46" s="95">
        <f>IF(A46=0,"",+VLOOKUP(A46,Tabla3[],'Registro de Operaciones'!$L$6,FALSE))</f>
      </c>
      <c r="L46" s="96">
        <f>+IF(A46&gt;0,"E","")</f>
      </c>
      <c r="M46" s="100">
        <f>IF(A46=0,"",+VLOOKUP(A46,Tabla3[],'Registro de Operaciones'!$E$6,FALSE))</f>
      </c>
      <c r="N46" s="95">
        <f>+IF(A46&gt;0,"Nayrut Flores","")</f>
      </c>
      <c r="O46" s="1"/>
      <c r="P46" s="1"/>
      <c r="Q46" s="33">
        <f>+LEN(U46)</f>
      </c>
      <c r="R46" s="1"/>
      <c r="S46" s="1"/>
      <c r="T46" s="1"/>
      <c r="U46" s="1"/>
      <c r="V46" s="1"/>
      <c r="W46" s="101"/>
      <c r="X46" s="1"/>
      <c r="Y46" s="1"/>
      <c r="Z46" s="1"/>
      <c r="AA46" s="1"/>
      <c r="AB46" s="1"/>
      <c r="AC46" s="1"/>
      <c r="AD46" s="1"/>
    </row>
    <row x14ac:dyDescent="0.25" r="47" customHeight="1" ht="18.75">
      <c r="A47" s="33">
        <f>+BD!AA48</f>
      </c>
      <c r="B47" s="94">
        <f>IF(A47=0,"",VLOOKUP(+VLOOKUP(A47,Tabla3[],'Registro de Operaciones'!$F$6,FALSE),DOI_Tipo,2,FALSE))</f>
      </c>
      <c r="C47" s="95">
        <f>IF(A47=0,"",+VLOOKUP(A47,Tabla3[#All],'Registro de Operaciones'!$G$6,FALSE))</f>
      </c>
      <c r="D47" s="99">
        <f>IF(A47=0,"",VLOOKUP(+VLOOKUP(A47,Tabla3[],'Registro de Operaciones'!$N$6,FALSE),Tipo_Abono,2,FALSE))</f>
        <v>25568.791666666668</v>
      </c>
      <c r="E47" s="95">
        <f>IF(A47=0,"",+VLOOKUP(A47,Tabla3[],'Registro de Operaciones'!$O$6,FALSE))</f>
      </c>
      <c r="F47" s="95">
        <f>IF(A47=0,"",+VLOOKUP(A47,Tabla3[],'Registro de Operaciones'!$H$6,FALSE))</f>
      </c>
      <c r="G47" s="97">
        <f>IF(A47=0,"",ROUND(+VLOOKUP(A47,Tabla3[],'Registro de Operaciones'!$X$6,FALSE),2))</f>
      </c>
      <c r="H47" s="96">
        <f>IF(A47=0,"",VLOOKUP(+VLOOKUP(A47,Tabla3[],'Registro de Operaciones'!$I$6,FALSE),Tipo_Recibo,2,FALSE))</f>
      </c>
      <c r="I47" s="95">
        <f>IF(A47=0,"",+VLOOKUP(A47,Tabla3[],'Registro de Operaciones'!$J$6,FALSE))</f>
      </c>
      <c r="J47" s="96">
        <f>+IF(A47&gt;0,"N","")</f>
      </c>
      <c r="K47" s="95">
        <f>IF(A47=0,"",+VLOOKUP(A47,Tabla3[],'Registro de Operaciones'!$L$6,FALSE))</f>
      </c>
      <c r="L47" s="96">
        <f>+IF(A47&gt;0,"E","")</f>
      </c>
      <c r="M47" s="100">
        <f>IF(A47=0,"",+VLOOKUP(A47,Tabla3[],'Registro de Operaciones'!$E$6,FALSE))</f>
      </c>
      <c r="N47" s="95">
        <f>+IF(A47&gt;0,"Nayrut Flores","")</f>
      </c>
      <c r="O47" s="1"/>
      <c r="P47" s="1"/>
      <c r="Q47" s="33">
        <f>+LEN(U47)</f>
      </c>
      <c r="R47" s="1"/>
      <c r="S47" s="1"/>
      <c r="T47" s="1"/>
      <c r="U47" s="1"/>
      <c r="V47" s="1"/>
      <c r="W47" s="101"/>
      <c r="X47" s="1"/>
      <c r="Y47" s="1"/>
      <c r="Z47" s="1"/>
      <c r="AA47" s="1"/>
      <c r="AB47" s="1"/>
      <c r="AC47" s="1"/>
      <c r="AD47" s="1"/>
    </row>
    <row x14ac:dyDescent="0.25" r="48" customHeight="1" ht="18.75">
      <c r="A48" s="33">
        <f>+BD!AA49</f>
      </c>
      <c r="B48" s="94">
        <f>IF(A48=0,"",VLOOKUP(+VLOOKUP(A48,Tabla3[],'Registro de Operaciones'!$F$6,FALSE),DOI_Tipo,2,FALSE))</f>
      </c>
      <c r="C48" s="95">
        <f>IF(A48=0,"",+VLOOKUP(A48,Tabla3[#All],'Registro de Operaciones'!$G$6,FALSE))</f>
      </c>
      <c r="D48" s="99">
        <f>IF(A48=0,"",VLOOKUP(+VLOOKUP(A48,Tabla3[],'Registro de Operaciones'!$N$6,FALSE),Tipo_Abono,2,FALSE))</f>
        <v>25568.791666666668</v>
      </c>
      <c r="E48" s="95">
        <f>IF(A48=0,"",+VLOOKUP(A48,Tabla3[],'Registro de Operaciones'!$O$6,FALSE))</f>
      </c>
      <c r="F48" s="95">
        <f>IF(A48=0,"",+VLOOKUP(A48,Tabla3[],'Registro de Operaciones'!$H$6,FALSE))</f>
      </c>
      <c r="G48" s="97">
        <f>IF(A48=0,"",ROUND(+VLOOKUP(A48,Tabla3[],'Registro de Operaciones'!$X$6,FALSE),2))</f>
      </c>
      <c r="H48" s="96">
        <f>IF(A48=0,"",VLOOKUP(+VLOOKUP(A48,Tabla3[],'Registro de Operaciones'!$I$6,FALSE),Tipo_Recibo,2,FALSE))</f>
      </c>
      <c r="I48" s="95">
        <f>IF(A48=0,"",+VLOOKUP(A48,Tabla3[],'Registro de Operaciones'!$J$6,FALSE))</f>
      </c>
      <c r="J48" s="96">
        <f>+IF(A48&gt;0,"N","")</f>
      </c>
      <c r="K48" s="95">
        <f>IF(A48=0,"",+VLOOKUP(A48,Tabla3[],'Registro de Operaciones'!$L$6,FALSE))</f>
      </c>
      <c r="L48" s="96">
        <f>+IF(A48&gt;0,"E","")</f>
      </c>
      <c r="M48" s="100">
        <f>IF(A48=0,"",+VLOOKUP(A48,Tabla3[],'Registro de Operaciones'!$E$6,FALSE))</f>
      </c>
      <c r="N48" s="95">
        <f>+IF(A48&gt;0,"Nayrut Flores","")</f>
      </c>
      <c r="O48" s="1"/>
      <c r="P48" s="1"/>
      <c r="Q48" s="33">
        <f>+LEN(U48)</f>
      </c>
      <c r="R48" s="1"/>
      <c r="S48" s="1"/>
      <c r="T48" s="1"/>
      <c r="U48" s="1"/>
      <c r="V48" s="1"/>
      <c r="W48" s="101"/>
      <c r="X48" s="1"/>
      <c r="Y48" s="1"/>
      <c r="Z48" s="1"/>
      <c r="AA48" s="1"/>
      <c r="AB48" s="1"/>
      <c r="AC48" s="1"/>
      <c r="AD48" s="1"/>
    </row>
    <row x14ac:dyDescent="0.25" r="49" customHeight="1" ht="18.75">
      <c r="A49" s="33">
        <f>+BD!AA50</f>
      </c>
      <c r="B49" s="94">
        <f>IF(A49=0,"",VLOOKUP(+VLOOKUP(A49,Tabla3[],'Registro de Operaciones'!$F$6,FALSE),DOI_Tipo,2,FALSE))</f>
      </c>
      <c r="C49" s="95">
        <f>IF(A49=0,"",+VLOOKUP(A49,Tabla3[#All],'Registro de Operaciones'!$G$6,FALSE))</f>
      </c>
      <c r="D49" s="99">
        <f>IF(A49=0,"",VLOOKUP(+VLOOKUP(A49,Tabla3[],'Registro de Operaciones'!$N$6,FALSE),Tipo_Abono,2,FALSE))</f>
        <v>25568.791666666668</v>
      </c>
      <c r="E49" s="95">
        <f>IF(A49=0,"",+VLOOKUP(A49,Tabla3[],'Registro de Operaciones'!$O$6,FALSE))</f>
      </c>
      <c r="F49" s="95">
        <f>IF(A49=0,"",+VLOOKUP(A49,Tabla3[],'Registro de Operaciones'!$H$6,FALSE))</f>
      </c>
      <c r="G49" s="97">
        <f>IF(A49=0,"",ROUND(+VLOOKUP(A49,Tabla3[],'Registro de Operaciones'!$X$6,FALSE),2))</f>
      </c>
      <c r="H49" s="96">
        <f>IF(A49=0,"",VLOOKUP(+VLOOKUP(A49,Tabla3[],'Registro de Operaciones'!$I$6,FALSE),Tipo_Recibo,2,FALSE))</f>
      </c>
      <c r="I49" s="95">
        <f>IF(A49=0,"",+VLOOKUP(A49,Tabla3[],'Registro de Operaciones'!$J$6,FALSE))</f>
      </c>
      <c r="J49" s="96">
        <f>+IF(A49&gt;0,"N","")</f>
      </c>
      <c r="K49" s="95">
        <f>IF(A49=0,"",+VLOOKUP(A49,Tabla3[],'Registro de Operaciones'!$L$6,FALSE))</f>
      </c>
      <c r="L49" s="96">
        <f>+IF(A49&gt;0,"E","")</f>
      </c>
      <c r="M49" s="100">
        <f>IF(A49=0,"",+VLOOKUP(A49,Tabla3[],'Registro de Operaciones'!$E$6,FALSE))</f>
      </c>
      <c r="N49" s="95">
        <f>+IF(A49&gt;0,"Nayrut Flores","")</f>
      </c>
      <c r="O49" s="1"/>
      <c r="P49" s="1"/>
      <c r="Q49" s="33">
        <f>+LEN(U49)</f>
      </c>
      <c r="R49" s="1"/>
      <c r="S49" s="1"/>
      <c r="T49" s="1"/>
      <c r="U49" s="1"/>
      <c r="V49" s="1"/>
      <c r="W49" s="101"/>
      <c r="X49" s="1"/>
      <c r="Y49" s="1"/>
      <c r="Z49" s="1"/>
      <c r="AA49" s="1"/>
      <c r="AB49" s="1"/>
      <c r="AC49" s="1"/>
      <c r="AD49" s="1"/>
    </row>
    <row x14ac:dyDescent="0.25" r="50" customHeight="1" ht="18.75">
      <c r="A50" s="33">
        <f>+BD!AA51</f>
      </c>
      <c r="B50" s="94">
        <f>IF(A50=0,"",VLOOKUP(+VLOOKUP(A50,Tabla3[],'Registro de Operaciones'!$F$6,FALSE),DOI_Tipo,2,FALSE))</f>
      </c>
      <c r="C50" s="95">
        <f>IF(A50=0,"",+VLOOKUP(A50,Tabla3[#All],'Registro de Operaciones'!$G$6,FALSE))</f>
      </c>
      <c r="D50" s="99">
        <f>IF(A50=0,"",VLOOKUP(+VLOOKUP(A50,Tabla3[],'Registro de Operaciones'!$N$6,FALSE),Tipo_Abono,2,FALSE))</f>
        <v>25568.791666666668</v>
      </c>
      <c r="E50" s="95">
        <f>IF(A50=0,"",+VLOOKUP(A50,Tabla3[],'Registro de Operaciones'!$O$6,FALSE))</f>
      </c>
      <c r="F50" s="95">
        <f>IF(A50=0,"",+VLOOKUP(A50,Tabla3[],'Registro de Operaciones'!$H$6,FALSE))</f>
      </c>
      <c r="G50" s="97">
        <f>IF(A50=0,"",ROUND(+VLOOKUP(A50,Tabla3[],'Registro de Operaciones'!$X$6,FALSE),2))</f>
      </c>
      <c r="H50" s="96">
        <f>IF(A50=0,"",VLOOKUP(+VLOOKUP(A50,Tabla3[],'Registro de Operaciones'!$I$6,FALSE),Tipo_Recibo,2,FALSE))</f>
      </c>
      <c r="I50" s="95">
        <f>IF(A50=0,"",+VLOOKUP(A50,Tabla3[],'Registro de Operaciones'!$J$6,FALSE))</f>
      </c>
      <c r="J50" s="96">
        <f>+IF(A50&gt;0,"N","")</f>
      </c>
      <c r="K50" s="95">
        <f>IF(A50=0,"",+VLOOKUP(A50,Tabla3[],'Registro de Operaciones'!$L$6,FALSE))</f>
      </c>
      <c r="L50" s="96">
        <f>+IF(A50&gt;0,"E","")</f>
      </c>
      <c r="M50" s="100">
        <f>IF(A50=0,"",+VLOOKUP(A50,Tabla3[],'Registro de Operaciones'!$E$6,FALSE))</f>
      </c>
      <c r="N50" s="95">
        <f>+IF(A50&gt;0,"Nayrut Flores","")</f>
      </c>
      <c r="O50" s="1"/>
      <c r="P50" s="1"/>
      <c r="Q50" s="33">
        <f>+LEN(U50)</f>
      </c>
      <c r="R50" s="1"/>
      <c r="S50" s="1"/>
      <c r="T50" s="1"/>
      <c r="U50" s="1"/>
      <c r="V50" s="1"/>
      <c r="W50" s="101"/>
      <c r="X50" s="1"/>
      <c r="Y50" s="1"/>
      <c r="Z50" s="1"/>
      <c r="AA50" s="1"/>
      <c r="AB50" s="1"/>
      <c r="AC50" s="1"/>
      <c r="AD50" s="1"/>
    </row>
    <row x14ac:dyDescent="0.25" r="51" customHeight="1" ht="18.75">
      <c r="A51" s="33">
        <f>+BD!AA52</f>
      </c>
      <c r="B51" s="94">
        <f>IF(A51=0,"",VLOOKUP(+VLOOKUP(A51,Tabla3[],'Registro de Operaciones'!$F$6,FALSE),DOI_Tipo,2,FALSE))</f>
      </c>
      <c r="C51" s="95">
        <f>IF(A51=0,"",+VLOOKUP(A51,Tabla3[#All],'Registro de Operaciones'!$G$6,FALSE))</f>
      </c>
      <c r="D51" s="99">
        <f>IF(A51=0,"",VLOOKUP(+VLOOKUP(A51,Tabla3[],'Registro de Operaciones'!$N$6,FALSE),Tipo_Abono,2,FALSE))</f>
        <v>25568.791666666668</v>
      </c>
      <c r="E51" s="95">
        <f>IF(A51=0,"",+VLOOKUP(A51,Tabla3[],'Registro de Operaciones'!$O$6,FALSE))</f>
      </c>
      <c r="F51" s="95">
        <f>IF(A51=0,"",+VLOOKUP(A51,Tabla3[],'Registro de Operaciones'!$H$6,FALSE))</f>
      </c>
      <c r="G51" s="97">
        <f>IF(A51=0,"",ROUND(+VLOOKUP(A51,Tabla3[],'Registro de Operaciones'!$X$6,FALSE),2))</f>
      </c>
      <c r="H51" s="96">
        <f>IF(A51=0,"",VLOOKUP(+VLOOKUP(A51,Tabla3[],'Registro de Operaciones'!$I$6,FALSE),Tipo_Recibo,2,FALSE))</f>
      </c>
      <c r="I51" s="95">
        <f>IF(A51=0,"",+VLOOKUP(A51,Tabla3[],'Registro de Operaciones'!$J$6,FALSE))</f>
      </c>
      <c r="J51" s="96">
        <f>+IF(A51&gt;0,"N","")</f>
      </c>
      <c r="K51" s="95">
        <f>IF(A51=0,"",+VLOOKUP(A51,Tabla3[],'Registro de Operaciones'!$L$6,FALSE))</f>
      </c>
      <c r="L51" s="96">
        <f>+IF(A51&gt;0,"E","")</f>
      </c>
      <c r="M51" s="100">
        <f>IF(A51=0,"",+VLOOKUP(A51,Tabla3[],'Registro de Operaciones'!$E$6,FALSE))</f>
      </c>
      <c r="N51" s="95">
        <f>+IF(A51&gt;0,"Nayrut Flores","")</f>
      </c>
      <c r="O51" s="1"/>
      <c r="P51" s="1"/>
      <c r="Q51" s="33">
        <f>+LEN(U51)</f>
      </c>
      <c r="R51" s="1"/>
      <c r="S51" s="1"/>
      <c r="T51" s="1"/>
      <c r="U51" s="1"/>
      <c r="V51" s="1"/>
      <c r="W51" s="101"/>
      <c r="X51" s="1"/>
      <c r="Y51" s="1"/>
      <c r="Z51" s="1"/>
      <c r="AA51" s="1"/>
      <c r="AB51" s="1"/>
      <c r="AC51" s="1"/>
      <c r="AD51" s="1"/>
    </row>
    <row x14ac:dyDescent="0.25" r="52" customHeight="1" ht="18.75">
      <c r="A52" s="33">
        <f>+BD!AA53</f>
      </c>
      <c r="B52" s="94">
        <f>IF(A52=0,"",VLOOKUP(+VLOOKUP(A52,Tabla3[],'Registro de Operaciones'!$F$6,FALSE),DOI_Tipo,2,FALSE))</f>
      </c>
      <c r="C52" s="95">
        <f>IF(A52=0,"",+VLOOKUP(A52,Tabla3[#All],'Registro de Operaciones'!$G$6,FALSE))</f>
      </c>
      <c r="D52" s="99">
        <f>IF(A52=0,"",VLOOKUP(+VLOOKUP(A52,Tabla3[],'Registro de Operaciones'!$N$6,FALSE),Tipo_Abono,2,FALSE))</f>
        <v>25568.791666666668</v>
      </c>
      <c r="E52" s="95">
        <f>IF(A52=0,"",+VLOOKUP(A52,Tabla3[],'Registro de Operaciones'!$O$6,FALSE))</f>
      </c>
      <c r="F52" s="95">
        <f>IF(A52=0,"",+VLOOKUP(A52,Tabla3[],'Registro de Operaciones'!$H$6,FALSE))</f>
      </c>
      <c r="G52" s="97">
        <f>IF(A52=0,"",ROUND(+VLOOKUP(A52,Tabla3[],'Registro de Operaciones'!$X$6,FALSE),2))</f>
      </c>
      <c r="H52" s="96">
        <f>IF(A52=0,"",VLOOKUP(+VLOOKUP(A52,Tabla3[],'Registro de Operaciones'!$I$6,FALSE),Tipo_Recibo,2,FALSE))</f>
      </c>
      <c r="I52" s="95">
        <f>IF(A52=0,"",+VLOOKUP(A52,Tabla3[],'Registro de Operaciones'!$J$6,FALSE))</f>
      </c>
      <c r="J52" s="96">
        <f>+IF(A52&gt;0,"N","")</f>
      </c>
      <c r="K52" s="95">
        <f>IF(A52=0,"",+VLOOKUP(A52,Tabla3[],'Registro de Operaciones'!$L$6,FALSE))</f>
      </c>
      <c r="L52" s="96">
        <f>+IF(A52&gt;0,"E","")</f>
      </c>
      <c r="M52" s="100">
        <f>IF(A52=0,"",+VLOOKUP(A52,Tabla3[],'Registro de Operaciones'!$E$6,FALSE))</f>
      </c>
      <c r="N52" s="95">
        <f>+IF(A52&gt;0,"Nayrut Flores","")</f>
      </c>
      <c r="O52" s="1"/>
      <c r="P52" s="1"/>
      <c r="Q52" s="33">
        <f>+LEN(U52)</f>
      </c>
      <c r="R52" s="1"/>
      <c r="S52" s="1"/>
      <c r="T52" s="1"/>
      <c r="U52" s="1"/>
      <c r="V52" s="1"/>
      <c r="W52" s="101"/>
      <c r="X52" s="1"/>
      <c r="Y52" s="1"/>
      <c r="Z52" s="1"/>
      <c r="AA52" s="1"/>
      <c r="AB52" s="1"/>
      <c r="AC52" s="1"/>
      <c r="AD52" s="1"/>
    </row>
    <row x14ac:dyDescent="0.25" r="53" customHeight="1" ht="18.75">
      <c r="A53" s="33">
        <f>+BD!AA54</f>
      </c>
      <c r="B53" s="94">
        <f>IF(A53=0,"",VLOOKUP(+VLOOKUP(A53,Tabla3[],'Registro de Operaciones'!$F$6,FALSE),DOI_Tipo,2,FALSE))</f>
      </c>
      <c r="C53" s="95">
        <f>IF(A53=0,"",+VLOOKUP(A53,Tabla3[#All],'Registro de Operaciones'!$G$6,FALSE))</f>
      </c>
      <c r="D53" s="99">
        <f>IF(A53=0,"",VLOOKUP(+VLOOKUP(A53,Tabla3[],'Registro de Operaciones'!$N$6,FALSE),Tipo_Abono,2,FALSE))</f>
        <v>25568.791666666668</v>
      </c>
      <c r="E53" s="95">
        <f>IF(A53=0,"",+VLOOKUP(A53,Tabla3[],'Registro de Operaciones'!$O$6,FALSE))</f>
      </c>
      <c r="F53" s="95">
        <f>IF(A53=0,"",+VLOOKUP(A53,Tabla3[],'Registro de Operaciones'!$H$6,FALSE))</f>
      </c>
      <c r="G53" s="97">
        <f>IF(A53=0,"",ROUND(+VLOOKUP(A53,Tabla3[],'Registro de Operaciones'!$X$6,FALSE),2))</f>
      </c>
      <c r="H53" s="96">
        <f>IF(A53=0,"",VLOOKUP(+VLOOKUP(A53,Tabla3[],'Registro de Operaciones'!$I$6,FALSE),Tipo_Recibo,2,FALSE))</f>
      </c>
      <c r="I53" s="95">
        <f>IF(A53=0,"",+VLOOKUP(A53,Tabla3[],'Registro de Operaciones'!$J$6,FALSE))</f>
      </c>
      <c r="J53" s="96">
        <f>+IF(A53&gt;0,"N","")</f>
      </c>
      <c r="K53" s="95">
        <f>IF(A53=0,"",+VLOOKUP(A53,Tabla3[],'Registro de Operaciones'!$L$6,FALSE))</f>
      </c>
      <c r="L53" s="96">
        <f>+IF(A53&gt;0,"E","")</f>
      </c>
      <c r="M53" s="100">
        <f>IF(A53=0,"",+VLOOKUP(A53,Tabla3[],'Registro de Operaciones'!$E$6,FALSE))</f>
      </c>
      <c r="N53" s="95">
        <f>+IF(A53&gt;0,"Nayrut Flores","")</f>
      </c>
      <c r="O53" s="1"/>
      <c r="P53" s="1"/>
      <c r="Q53" s="33">
        <f>+LEN(U53)</f>
      </c>
      <c r="R53" s="1"/>
      <c r="S53" s="1"/>
      <c r="T53" s="1"/>
      <c r="U53" s="1"/>
      <c r="V53" s="1"/>
      <c r="W53" s="101"/>
      <c r="X53" s="1"/>
      <c r="Y53" s="1"/>
      <c r="Z53" s="1"/>
      <c r="AA53" s="1"/>
      <c r="AB53" s="1"/>
      <c r="AC53" s="1"/>
      <c r="AD5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E53"/>
  <sheetViews>
    <sheetView workbookViewId="0"/>
  </sheetViews>
  <sheetFormatPr defaultRowHeight="15" x14ac:dyDescent="0.25"/>
  <cols>
    <col min="1" max="1" style="87" width="5.862142857142857" customWidth="1" bestFit="1"/>
    <col min="2" max="2" style="87" width="8.290714285714287" customWidth="1" bestFit="1"/>
    <col min="3" max="3" style="87" width="13.005" customWidth="1" bestFit="1"/>
    <col min="4" max="4" style="5" width="11.147857142857141" customWidth="1" bestFit="1"/>
    <col min="5" max="5" style="5" width="23.576428571428572" customWidth="1" bestFit="1"/>
    <col min="6" max="6" style="5" width="37.29071428571429" customWidth="1" bestFit="1"/>
    <col min="7" max="7" style="104" width="16.14785714285714" customWidth="1" bestFit="1"/>
    <col min="8" max="8" style="5" width="11.290714285714287" customWidth="1" bestFit="1"/>
    <col min="9" max="9" style="5" width="13.290714285714287" customWidth="1" bestFit="1"/>
    <col min="10" max="10" style="5" width="15.576428571428572" customWidth="1" bestFit="1"/>
    <col min="11" max="11" style="5" width="73.43357142857143" customWidth="1" bestFit="1"/>
    <col min="12" max="12" style="5" width="14.576428571428572" customWidth="1" bestFit="1"/>
    <col min="13" max="13" style="5" width="32.14785714285715" customWidth="1" bestFit="1"/>
    <col min="14" max="14" style="5" width="16.719285714285714" customWidth="1" bestFit="1"/>
    <col min="15" max="15" style="5" width="13.576428571428572" customWidth="1" bestFit="1"/>
    <col min="16" max="16" style="5" width="13.576428571428572" customWidth="1" bestFit="1"/>
    <col min="17" max="17" style="83" width="11.43357142857143" customWidth="1" bestFit="1"/>
    <col min="18" max="18" style="5" width="9.576428571428572" customWidth="1" bestFit="1"/>
    <col min="19" max="19" style="5" width="13.005" customWidth="1" bestFit="1"/>
    <col min="20" max="20" style="5" width="12.290714285714287" customWidth="1" bestFit="1"/>
    <col min="21" max="21" style="5" width="23.005" customWidth="1" bestFit="1"/>
    <col min="22" max="22" style="5" width="39.57642857142857" customWidth="1" bestFit="1"/>
    <col min="23" max="23" style="104" width="16.433571428571426" customWidth="1" bestFit="1"/>
    <col min="24" max="24" style="5" width="12.719285714285713" customWidth="1" bestFit="1"/>
    <col min="25" max="25" style="5" width="15.005" customWidth="1" bestFit="1"/>
    <col min="26" max="26" style="5" width="17.433571428571426" customWidth="1" bestFit="1"/>
    <col min="27" max="27" style="5" width="79.29071428571429" customWidth="1" bestFit="1"/>
    <col min="28" max="28" style="5" width="16.290714285714284" customWidth="1" bestFit="1"/>
    <col min="29" max="29" style="5" width="35.29071428571429" customWidth="1" bestFit="1"/>
    <col min="30" max="30" style="5" width="18.14785714285714" customWidth="1" bestFit="1"/>
    <col min="31" max="31" style="5" width="16.719285714285714" customWidth="1" bestFit="1"/>
  </cols>
  <sheetData>
    <row x14ac:dyDescent="0.25" r="1" customHeight="1" ht="18.75">
      <c r="A1" s="102" t="s">
        <v>128</v>
      </c>
      <c r="B1" s="103"/>
      <c r="C1" s="103"/>
      <c r="D1" s="1"/>
      <c r="E1" s="1"/>
      <c r="F1" s="1"/>
      <c r="G1" s="101"/>
      <c r="H1" s="1"/>
      <c r="I1" s="1"/>
      <c r="J1" s="1"/>
      <c r="K1" s="1"/>
      <c r="L1" s="1"/>
      <c r="M1" s="1"/>
      <c r="N1" s="1"/>
      <c r="O1" s="1"/>
      <c r="P1" s="1"/>
      <c r="Q1" s="7"/>
      <c r="R1" s="1"/>
      <c r="S1" s="1"/>
      <c r="T1" s="1"/>
      <c r="U1" s="1"/>
      <c r="V1" s="1"/>
      <c r="W1" s="101"/>
      <c r="X1" s="1"/>
      <c r="Y1" s="1"/>
      <c r="Z1" s="1"/>
      <c r="AA1" s="1"/>
      <c r="AB1" s="1"/>
      <c r="AC1" s="1"/>
      <c r="AD1" s="1"/>
      <c r="AE1" s="1"/>
    </row>
    <row x14ac:dyDescent="0.25" r="2" customHeight="1" ht="18.75">
      <c r="A2" s="11"/>
      <c r="B2" s="11"/>
      <c r="C2" s="11"/>
      <c r="D2" s="1"/>
      <c r="E2" s="1"/>
      <c r="F2" s="1"/>
      <c r="G2" s="101"/>
      <c r="H2" s="1"/>
      <c r="I2" s="1"/>
      <c r="J2" s="1"/>
      <c r="K2" s="1"/>
      <c r="L2" s="1"/>
      <c r="M2" s="1"/>
      <c r="N2" s="1"/>
      <c r="O2" s="1"/>
      <c r="P2" s="1"/>
      <c r="Q2" s="7"/>
      <c r="R2" s="1"/>
      <c r="S2" s="1"/>
      <c r="T2" s="1"/>
      <c r="U2" s="1"/>
      <c r="V2" s="1"/>
      <c r="W2" s="101"/>
      <c r="X2" s="1"/>
      <c r="Y2" s="1"/>
      <c r="Z2" s="1"/>
      <c r="AA2" s="1"/>
      <c r="AB2" s="1"/>
      <c r="AC2" s="1"/>
      <c r="AD2" s="1"/>
      <c r="AE2" s="1"/>
    </row>
    <row x14ac:dyDescent="0.25" r="3" customHeight="1" ht="18.75">
      <c r="A3" s="91" t="s">
        <v>1031</v>
      </c>
      <c r="B3" s="91" t="s">
        <v>1032</v>
      </c>
      <c r="C3" s="91" t="s">
        <v>1033</v>
      </c>
      <c r="D3" s="92" t="s">
        <v>1034</v>
      </c>
      <c r="E3" s="92" t="s">
        <v>1035</v>
      </c>
      <c r="F3" s="92" t="s">
        <v>1036</v>
      </c>
      <c r="G3" s="93" t="s">
        <v>1037</v>
      </c>
      <c r="H3" s="92" t="s">
        <v>1038</v>
      </c>
      <c r="I3" s="92" t="s">
        <v>1039</v>
      </c>
      <c r="J3" s="92" t="s">
        <v>1040</v>
      </c>
      <c r="K3" s="92" t="s">
        <v>1041</v>
      </c>
      <c r="L3" s="92" t="s">
        <v>1042</v>
      </c>
      <c r="M3" s="92" t="s">
        <v>1043</v>
      </c>
      <c r="N3" s="92" t="s">
        <v>1044</v>
      </c>
      <c r="O3" s="1"/>
      <c r="P3" s="1"/>
      <c r="Q3" s="7"/>
      <c r="R3" s="106" t="s">
        <v>1032</v>
      </c>
      <c r="S3" s="106" t="s">
        <v>1033</v>
      </c>
      <c r="T3" s="106" t="s">
        <v>1034</v>
      </c>
      <c r="U3" s="106" t="s">
        <v>1035</v>
      </c>
      <c r="V3" s="106" t="s">
        <v>1036</v>
      </c>
      <c r="W3" s="107" t="s">
        <v>1037</v>
      </c>
      <c r="X3" s="106" t="s">
        <v>1038</v>
      </c>
      <c r="Y3" s="106" t="s">
        <v>1039</v>
      </c>
      <c r="Z3" s="106" t="s">
        <v>1040</v>
      </c>
      <c r="AA3" s="106" t="s">
        <v>1041</v>
      </c>
      <c r="AB3" s="106" t="s">
        <v>1042</v>
      </c>
      <c r="AC3" s="106" t="s">
        <v>1043</v>
      </c>
      <c r="AD3" s="106" t="s">
        <v>1044</v>
      </c>
      <c r="AE3" s="1"/>
    </row>
    <row x14ac:dyDescent="0.25" r="4" customHeight="1" ht="18.75">
      <c r="A4" s="33">
        <f>+BD!AE5</f>
      </c>
      <c r="B4" s="108">
        <f>IF(A4=0,"",VLOOKUP(+VLOOKUP(A4,Tabla3[],'Registro de Operaciones'!$F$6,FALSE),DOI_Tipo,2,FALSE))</f>
      </c>
      <c r="C4" s="109">
        <f>IF(A4=0,"",+VLOOKUP(A4,Tabla3[#All],'Registro de Operaciones'!$G$6,FALSE))</f>
      </c>
      <c r="D4" s="96">
        <f>IF(A4=0,"",VLOOKUP(+VLOOKUP(A4,Tabla3[],'Registro de Operaciones'!$N$6,FALSE),Tipo_Abono,2,FALSE))</f>
      </c>
      <c r="E4" s="95">
        <f>IF(A4=0,"",+VLOOKUP(A4,Tabla3[],'Registro de Operaciones'!$O$6,FALSE))</f>
      </c>
      <c r="F4" s="95">
        <f>IF(A4=0,"",+VLOOKUP(A4,Tabla3[],'Registro de Operaciones'!$H$6,FALSE))</f>
      </c>
      <c r="G4" s="97">
        <f>IF(A4=0,"",ROUND(+VLOOKUP(A4,Tabla3[],'Registro de Operaciones'!$U$6,FALSE),2))</f>
      </c>
      <c r="H4" s="96">
        <f>IF(A4=0,"",VLOOKUP(+VLOOKUP(A4,Tabla3[],'Registro de Operaciones'!$I$6,FALSE),Tipo_Recibo,2,FALSE))</f>
      </c>
      <c r="I4" s="95">
        <f>IF(A4=0,"",+VLOOKUP(A4,Tabla3[],'Registro de Operaciones'!$J$6,FALSE))</f>
      </c>
      <c r="J4" s="96">
        <f>+IF(A4&gt;0,"N","")</f>
      </c>
      <c r="K4" s="95">
        <f>IF(A4=0,"",+VLOOKUP(A4,Tabla3[],'Registro de Operaciones'!$L$6,FALSE))</f>
      </c>
      <c r="L4" s="96">
        <f>+IF(A4&gt;0,"E","")</f>
      </c>
      <c r="M4" s="98">
        <f>IF(A4=0,"",+VLOOKUP(A4,Tabla3[],'Registro de Operaciones'!$E$6,FALSE))</f>
      </c>
      <c r="N4" s="95">
        <f>+IF(A4&gt;0,"Nayrut Flores","")</f>
      </c>
      <c r="O4" s="1"/>
      <c r="P4" s="1"/>
      <c r="Q4" s="33">
        <f>+LEN(U4)</f>
      </c>
      <c r="R4" s="1" t="s">
        <v>150</v>
      </c>
      <c r="S4" s="1" t="s">
        <v>951</v>
      </c>
      <c r="T4" s="1" t="s">
        <v>195</v>
      </c>
      <c r="U4" s="1" t="s">
        <v>1030</v>
      </c>
      <c r="V4" s="1" t="s">
        <v>952</v>
      </c>
      <c r="W4" s="33">
        <v>1652</v>
      </c>
      <c r="X4" s="1" t="s">
        <v>229</v>
      </c>
      <c r="Y4" s="1" t="s">
        <v>1045</v>
      </c>
      <c r="Z4" s="1" t="s">
        <v>241</v>
      </c>
      <c r="AA4" s="1" t="s">
        <v>1046</v>
      </c>
      <c r="AB4" s="1" t="s">
        <v>162</v>
      </c>
      <c r="AC4" s="1" t="s">
        <v>1047</v>
      </c>
      <c r="AD4" s="1" t="s">
        <v>1048</v>
      </c>
      <c r="AE4" s="1"/>
    </row>
    <row x14ac:dyDescent="0.25" r="5" customHeight="1" ht="18.75">
      <c r="A5" s="33">
        <f>+BD!AE6</f>
      </c>
      <c r="B5" s="108">
        <f>IF(A5=0,"",VLOOKUP(+VLOOKUP(A5,Tabla3[],'Registro de Operaciones'!$F$6,FALSE),DOI_Tipo,2,FALSE))</f>
      </c>
      <c r="C5" s="109">
        <f>IF(A5=0,"",+VLOOKUP(A5,Tabla3[#All],'Registro de Operaciones'!$G$6,FALSE))</f>
      </c>
      <c r="D5" s="96">
        <f>IF(A5=0,"",VLOOKUP(+VLOOKUP(A5,Tabla3[],'Registro de Operaciones'!$N$6,FALSE),Tipo_Abono,2,FALSE))</f>
      </c>
      <c r="E5" s="95">
        <f>IF(A5=0,"",+VLOOKUP(A5,Tabla3[],'Registro de Operaciones'!$O$6,FALSE))</f>
      </c>
      <c r="F5" s="95">
        <f>IF(A5=0,"",+VLOOKUP(A5,Tabla3[],'Registro de Operaciones'!$H$6,FALSE))</f>
      </c>
      <c r="G5" s="97">
        <f>IF(A5=0,"",ROUND(+VLOOKUP(A5,Tabla3[],'Registro de Operaciones'!$U$6,FALSE),2))</f>
      </c>
      <c r="H5" s="96">
        <f>IF(A5=0,"",VLOOKUP(+VLOOKUP(A5,Tabla3[],'Registro de Operaciones'!$I$6,FALSE),Tipo_Recibo,2,FALSE))</f>
      </c>
      <c r="I5" s="95">
        <f>IF(A5=0,"",+VLOOKUP(A5,Tabla3[],'Registro de Operaciones'!$J$6,FALSE))</f>
      </c>
      <c r="J5" s="96">
        <f>+IF(A5&gt;0,"N","")</f>
      </c>
      <c r="K5" s="95">
        <f>IF(A5=0,"",+VLOOKUP(A5,Tabla3[],'Registro de Operaciones'!$L$6,FALSE))</f>
      </c>
      <c r="L5" s="96">
        <f>+IF(A5&gt;0,"E","")</f>
      </c>
      <c r="M5" s="98">
        <f>IF(A5=0,"",+VLOOKUP(A5,Tabla3[],'Registro de Operaciones'!$E$6,FALSE))</f>
      </c>
      <c r="N5" s="95">
        <f>+IF(A5&gt;0,"Nayrut Flores","")</f>
      </c>
      <c r="O5" s="1"/>
      <c r="P5" s="1"/>
      <c r="Q5" s="33">
        <f>+LEN(U5)</f>
      </c>
      <c r="R5" s="1" t="s">
        <v>150</v>
      </c>
      <c r="S5" s="1" t="s">
        <v>951</v>
      </c>
      <c r="T5" s="1" t="s">
        <v>195</v>
      </c>
      <c r="U5" s="1" t="s">
        <v>1030</v>
      </c>
      <c r="V5" s="1" t="s">
        <v>952</v>
      </c>
      <c r="W5" s="33">
        <v>1454</v>
      </c>
      <c r="X5" s="1" t="s">
        <v>229</v>
      </c>
      <c r="Y5" s="1" t="s">
        <v>1049</v>
      </c>
      <c r="Z5" s="1" t="s">
        <v>241</v>
      </c>
      <c r="AA5" s="1" t="s">
        <v>1050</v>
      </c>
      <c r="AB5" s="1" t="s">
        <v>162</v>
      </c>
      <c r="AC5" s="1" t="s">
        <v>1047</v>
      </c>
      <c r="AD5" s="1" t="s">
        <v>1048</v>
      </c>
      <c r="AE5" s="1"/>
    </row>
    <row x14ac:dyDescent="0.25" r="6" customHeight="1" ht="18.75">
      <c r="A6" s="33">
        <f>+BD!AE7</f>
      </c>
      <c r="B6" s="108">
        <f>IF(A6=0,"",VLOOKUP(+VLOOKUP(A6,Tabla3[],'Registro de Operaciones'!$F$6,FALSE),DOI_Tipo,2,FALSE))</f>
      </c>
      <c r="C6" s="109">
        <f>IF(A6=0,"",+VLOOKUP(A6,Tabla3[#All],'Registro de Operaciones'!$G$6,FALSE))</f>
      </c>
      <c r="D6" s="96">
        <f>IF(A6=0,"",VLOOKUP(+VLOOKUP(A6,Tabla3[],'Registro de Operaciones'!$N$6,FALSE),Tipo_Abono,2,FALSE))</f>
      </c>
      <c r="E6" s="95">
        <f>IF(A6=0,"",+VLOOKUP(A6,Tabla3[],'Registro de Operaciones'!$O$6,FALSE))</f>
      </c>
      <c r="F6" s="95">
        <f>IF(A6=0,"",+VLOOKUP(A6,Tabla3[],'Registro de Operaciones'!$H$6,FALSE))</f>
      </c>
      <c r="G6" s="97">
        <f>IF(A6=0,"",ROUND(+VLOOKUP(A6,Tabla3[],'Registro de Operaciones'!$U$6,FALSE),2))</f>
      </c>
      <c r="H6" s="96">
        <f>IF(A6=0,"",VLOOKUP(+VLOOKUP(A6,Tabla3[],'Registro de Operaciones'!$I$6,FALSE),Tipo_Recibo,2,FALSE))</f>
      </c>
      <c r="I6" s="95">
        <f>IF(A6=0,"",+VLOOKUP(A6,Tabla3[],'Registro de Operaciones'!$J$6,FALSE))</f>
      </c>
      <c r="J6" s="96">
        <f>+IF(A6&gt;0,"N","")</f>
      </c>
      <c r="K6" s="95">
        <f>IF(A6=0,"",+VLOOKUP(A6,Tabla3[],'Registro de Operaciones'!$L$6,FALSE))</f>
      </c>
      <c r="L6" s="96">
        <f>+IF(A6&gt;0,"E","")</f>
      </c>
      <c r="M6" s="98">
        <f>IF(A6=0,"",+VLOOKUP(A6,Tabla3[],'Registro de Operaciones'!$E$6,FALSE))</f>
      </c>
      <c r="N6" s="95">
        <f>+IF(A6&gt;0,"Nayrut Flores","")</f>
      </c>
      <c r="O6" s="1"/>
      <c r="P6" s="1"/>
      <c r="Q6" s="33">
        <f>+LEN(U6)</f>
      </c>
      <c r="R6" s="1" t="s">
        <v>150</v>
      </c>
      <c r="S6" s="1" t="s">
        <v>974</v>
      </c>
      <c r="T6" s="1" t="s">
        <v>195</v>
      </c>
      <c r="U6" s="1" t="s">
        <v>1002</v>
      </c>
      <c r="V6" s="1" t="s">
        <v>975</v>
      </c>
      <c r="W6" s="89">
        <v>1411.14</v>
      </c>
      <c r="X6" s="1" t="s">
        <v>229</v>
      </c>
      <c r="Y6" s="1" t="s">
        <v>1051</v>
      </c>
      <c r="Z6" s="1" t="s">
        <v>241</v>
      </c>
      <c r="AA6" s="1" t="s">
        <v>1052</v>
      </c>
      <c r="AB6" s="1" t="s">
        <v>162</v>
      </c>
      <c r="AC6" s="1" t="s">
        <v>1047</v>
      </c>
      <c r="AD6" s="1" t="s">
        <v>1048</v>
      </c>
      <c r="AE6" s="1"/>
    </row>
    <row x14ac:dyDescent="0.25" r="7" customHeight="1" ht="18.75">
      <c r="A7" s="33">
        <f>+BD!AE8</f>
      </c>
      <c r="B7" s="108">
        <f>IF(A7=0,"",VLOOKUP(+VLOOKUP(A7,Tabla3[],'Registro de Operaciones'!$F$6,FALSE),DOI_Tipo,2,FALSE))</f>
      </c>
      <c r="C7" s="109">
        <f>IF(A7=0,"",+VLOOKUP(A7,Tabla3[#All],'Registro de Operaciones'!$G$6,FALSE))</f>
      </c>
      <c r="D7" s="96">
        <f>IF(A7=0,"",VLOOKUP(+VLOOKUP(A7,Tabla3[],'Registro de Operaciones'!$N$6,FALSE),Tipo_Abono,2,FALSE))</f>
      </c>
      <c r="E7" s="95">
        <f>IF(A7=0,"",+VLOOKUP(A7,Tabla3[],'Registro de Operaciones'!$O$6,FALSE))</f>
      </c>
      <c r="F7" s="95">
        <f>IF(A7=0,"",+VLOOKUP(A7,Tabla3[],'Registro de Operaciones'!$H$6,FALSE))</f>
      </c>
      <c r="G7" s="97">
        <f>IF(A7=0,"",ROUND(+VLOOKUP(A7,Tabla3[],'Registro de Operaciones'!$U$6,FALSE),2))</f>
      </c>
      <c r="H7" s="96">
        <f>IF(A7=0,"",VLOOKUP(+VLOOKUP(A7,Tabla3[],'Registro de Operaciones'!$I$6,FALSE),Tipo_Recibo,2,FALSE))</f>
      </c>
      <c r="I7" s="95">
        <f>IF(A7=0,"",+VLOOKUP(A7,Tabla3[],'Registro de Operaciones'!$J$6,FALSE))</f>
      </c>
      <c r="J7" s="96">
        <f>+IF(A7&gt;0,"N","")</f>
      </c>
      <c r="K7" s="95">
        <f>IF(A7=0,"",+VLOOKUP(A7,Tabla3[],'Registro de Operaciones'!$L$6,FALSE))</f>
      </c>
      <c r="L7" s="96">
        <f>+IF(A7&gt;0,"E","")</f>
      </c>
      <c r="M7" s="98">
        <f>IF(A7=0,"",+VLOOKUP(A7,Tabla3[],'Registro de Operaciones'!$E$6,FALSE))</f>
      </c>
      <c r="N7" s="95">
        <f>+IF(A7&gt;0,"Nayrut Flores","")</f>
      </c>
      <c r="O7" s="1"/>
      <c r="P7" s="1"/>
      <c r="Q7" s="33">
        <f>+LEN(U7)</f>
      </c>
      <c r="R7" s="1" t="s">
        <v>142</v>
      </c>
      <c r="S7" s="1" t="s">
        <v>231</v>
      </c>
      <c r="T7" s="1" t="s">
        <v>169</v>
      </c>
      <c r="U7" s="1" t="s">
        <v>1025</v>
      </c>
      <c r="V7" s="1" t="s">
        <v>232</v>
      </c>
      <c r="W7" s="33">
        <v>9900</v>
      </c>
      <c r="X7" s="1" t="s">
        <v>217</v>
      </c>
      <c r="Y7" s="1" t="s">
        <v>1053</v>
      </c>
      <c r="Z7" s="1" t="s">
        <v>241</v>
      </c>
      <c r="AA7" s="1" t="s">
        <v>1054</v>
      </c>
      <c r="AB7" s="1" t="s">
        <v>162</v>
      </c>
      <c r="AC7" s="1" t="s">
        <v>1047</v>
      </c>
      <c r="AD7" s="1" t="s">
        <v>1048</v>
      </c>
      <c r="AE7" s="1"/>
    </row>
    <row x14ac:dyDescent="0.25" r="8" customHeight="1" ht="18.75">
      <c r="A8" s="33">
        <f>+BD!AE9</f>
      </c>
      <c r="B8" s="108">
        <f>IF(A8=0,"",VLOOKUP(+VLOOKUP(A8,Tabla3[],'Registro de Operaciones'!$F$6,FALSE),DOI_Tipo,2,FALSE))</f>
      </c>
      <c r="C8" s="109">
        <f>IF(A8=0,"",+VLOOKUP(A8,Tabla3[#All],'Registro de Operaciones'!$G$6,FALSE))</f>
      </c>
      <c r="D8" s="96">
        <f>IF(A8=0,"",VLOOKUP(+VLOOKUP(A8,Tabla3[],'Registro de Operaciones'!$N$6,FALSE),Tipo_Abono,2,FALSE))</f>
      </c>
      <c r="E8" s="95">
        <f>IF(A8=0,"",+VLOOKUP(A8,Tabla3[],'Registro de Operaciones'!$O$6,FALSE))</f>
      </c>
      <c r="F8" s="95">
        <f>IF(A8=0,"",+VLOOKUP(A8,Tabla3[],'Registro de Operaciones'!$H$6,FALSE))</f>
      </c>
      <c r="G8" s="97">
        <f>IF(A8=0,"",ROUND(+VLOOKUP(A8,Tabla3[],'Registro de Operaciones'!$U$6,FALSE),2))</f>
      </c>
      <c r="H8" s="96">
        <f>IF(A8=0,"",VLOOKUP(+VLOOKUP(A8,Tabla3[],'Registro de Operaciones'!$I$6,FALSE),Tipo_Recibo,2,FALSE))</f>
      </c>
      <c r="I8" s="95">
        <f>IF(A8=0,"",+VLOOKUP(A8,Tabla3[],'Registro de Operaciones'!$J$6,FALSE))</f>
      </c>
      <c r="J8" s="96">
        <f>+IF(A8&gt;0,"N","")</f>
      </c>
      <c r="K8" s="95">
        <f>IF(A8=0,"",+VLOOKUP(A8,Tabla3[],'Registro de Operaciones'!$L$6,FALSE))</f>
      </c>
      <c r="L8" s="96">
        <f>+IF(A8&gt;0,"E","")</f>
      </c>
      <c r="M8" s="98">
        <f>IF(A8=0,"",+VLOOKUP(A8,Tabla3[],'Registro de Operaciones'!$E$6,FALSE))</f>
      </c>
      <c r="N8" s="95">
        <f>+IF(A8&gt;0,"Nayrut Flores","")</f>
      </c>
      <c r="O8" s="1"/>
      <c r="P8" s="1"/>
      <c r="Q8" s="33">
        <f>+LEN(U8)</f>
      </c>
      <c r="R8" s="1" t="s">
        <v>142</v>
      </c>
      <c r="S8" s="1" t="s">
        <v>231</v>
      </c>
      <c r="T8" s="1" t="s">
        <v>169</v>
      </c>
      <c r="U8" s="1" t="s">
        <v>1025</v>
      </c>
      <c r="V8" s="1" t="s">
        <v>232</v>
      </c>
      <c r="W8" s="89">
        <v>3654.36</v>
      </c>
      <c r="X8" s="1" t="s">
        <v>217</v>
      </c>
      <c r="Y8" s="1" t="s">
        <v>1055</v>
      </c>
      <c r="Z8" s="1" t="s">
        <v>241</v>
      </c>
      <c r="AA8" s="1" t="s">
        <v>1056</v>
      </c>
      <c r="AB8" s="1" t="s">
        <v>162</v>
      </c>
      <c r="AC8" s="1" t="s">
        <v>1047</v>
      </c>
      <c r="AD8" s="1" t="s">
        <v>1048</v>
      </c>
      <c r="AE8" s="1"/>
    </row>
    <row x14ac:dyDescent="0.25" r="9" customHeight="1" ht="18.75">
      <c r="A9" s="33">
        <f>+BD!AE10</f>
      </c>
      <c r="B9" s="108">
        <f>IF(A9=0,"",VLOOKUP(+VLOOKUP(A9,Tabla3[],'Registro de Operaciones'!$F$6,FALSE),DOI_Tipo,2,FALSE))</f>
      </c>
      <c r="C9" s="109">
        <f>IF(A9=0,"",+VLOOKUP(A9,Tabla3[#All],'Registro de Operaciones'!$G$6,FALSE))</f>
      </c>
      <c r="D9" s="96">
        <f>IF(A9=0,"",VLOOKUP(+VLOOKUP(A9,Tabla3[],'Registro de Operaciones'!$N$6,FALSE),Tipo_Abono,2,FALSE))</f>
      </c>
      <c r="E9" s="95">
        <f>IF(A9=0,"",+VLOOKUP(A9,Tabla3[],'Registro de Operaciones'!$O$6,FALSE))</f>
      </c>
      <c r="F9" s="95">
        <f>IF(A9=0,"",+VLOOKUP(A9,Tabla3[],'Registro de Operaciones'!$H$6,FALSE))</f>
      </c>
      <c r="G9" s="97">
        <f>IF(A9=0,"",ROUND(+VLOOKUP(A9,Tabla3[],'Registro de Operaciones'!$U$6,FALSE),2))</f>
      </c>
      <c r="H9" s="96">
        <f>IF(A9=0,"",VLOOKUP(+VLOOKUP(A9,Tabla3[],'Registro de Operaciones'!$I$6,FALSE),Tipo_Recibo,2,FALSE))</f>
      </c>
      <c r="I9" s="95">
        <f>IF(A9=0,"",+VLOOKUP(A9,Tabla3[],'Registro de Operaciones'!$J$6,FALSE))</f>
      </c>
      <c r="J9" s="96">
        <f>+IF(A9&gt;0,"N","")</f>
      </c>
      <c r="K9" s="95">
        <f>IF(A9=0,"",+VLOOKUP(A9,Tabla3[],'Registro de Operaciones'!$L$6,FALSE))</f>
      </c>
      <c r="L9" s="96">
        <f>+IF(A9&gt;0,"E","")</f>
      </c>
      <c r="M9" s="98">
        <f>IF(A9=0,"",+VLOOKUP(A9,Tabla3[],'Registro de Operaciones'!$E$6,FALSE))</f>
      </c>
      <c r="N9" s="95">
        <f>+IF(A9&gt;0,"Nayrut Flores","")</f>
      </c>
      <c r="O9" s="1"/>
      <c r="P9" s="1"/>
      <c r="Q9" s="33">
        <f>+LEN(U9)</f>
      </c>
      <c r="R9" s="1" t="s">
        <v>142</v>
      </c>
      <c r="S9" s="1" t="s">
        <v>237</v>
      </c>
      <c r="T9" s="1" t="s">
        <v>169</v>
      </c>
      <c r="U9" s="1" t="s">
        <v>1026</v>
      </c>
      <c r="V9" s="1" t="s">
        <v>238</v>
      </c>
      <c r="W9" s="89">
        <v>3547.42</v>
      </c>
      <c r="X9" s="1" t="s">
        <v>217</v>
      </c>
      <c r="Y9" s="1" t="s">
        <v>1057</v>
      </c>
      <c r="Z9" s="1" t="s">
        <v>241</v>
      </c>
      <c r="AA9" s="1" t="s">
        <v>1058</v>
      </c>
      <c r="AB9" s="1" t="s">
        <v>162</v>
      </c>
      <c r="AC9" s="1" t="s">
        <v>1047</v>
      </c>
      <c r="AD9" s="1" t="s">
        <v>1048</v>
      </c>
      <c r="AE9" s="1"/>
    </row>
    <row x14ac:dyDescent="0.25" r="10" customHeight="1" ht="18.75">
      <c r="A10" s="33">
        <f>+BD!AE11</f>
      </c>
      <c r="B10" s="108">
        <f>IF(A10=0,"",VLOOKUP(+VLOOKUP(A10,Tabla3[],'Registro de Operaciones'!$F$6,FALSE),DOI_Tipo,2,FALSE))</f>
      </c>
      <c r="C10" s="109">
        <f>IF(A10=0,"",+VLOOKUP(A10,Tabla3[#All],'Registro de Operaciones'!$G$6,FALSE))</f>
      </c>
      <c r="D10" s="96">
        <f>IF(A10=0,"",VLOOKUP(+VLOOKUP(A10,Tabla3[],'Registro de Operaciones'!$N$6,FALSE),Tipo_Abono,2,FALSE))</f>
      </c>
      <c r="E10" s="95">
        <f>IF(A10=0,"",+VLOOKUP(A10,Tabla3[],'Registro de Operaciones'!$O$6,FALSE))</f>
      </c>
      <c r="F10" s="95">
        <f>IF(A10=0,"",+VLOOKUP(A10,Tabla3[],'Registro de Operaciones'!$H$6,FALSE))</f>
      </c>
      <c r="G10" s="97">
        <f>IF(A10=0,"",ROUND(+VLOOKUP(A10,Tabla3[],'Registro de Operaciones'!$U$6,FALSE),2))</f>
      </c>
      <c r="H10" s="96">
        <f>IF(A10=0,"",VLOOKUP(+VLOOKUP(A10,Tabla3[],'Registro de Operaciones'!$I$6,FALSE),Tipo_Recibo,2,FALSE))</f>
      </c>
      <c r="I10" s="95">
        <f>IF(A10=0,"",+VLOOKUP(A10,Tabla3[],'Registro de Operaciones'!$J$6,FALSE))</f>
      </c>
      <c r="J10" s="96">
        <f>+IF(A10&gt;0,"N","")</f>
      </c>
      <c r="K10" s="95">
        <f>IF(A10=0,"",+VLOOKUP(A10,Tabla3[],'Registro de Operaciones'!$L$6,FALSE))</f>
      </c>
      <c r="L10" s="96">
        <f>+IF(A10&gt;0,"E","")</f>
      </c>
      <c r="M10" s="98">
        <f>IF(A10=0,"",+VLOOKUP(A10,Tabla3[],'Registro de Operaciones'!$E$6,FALSE))</f>
      </c>
      <c r="N10" s="95">
        <f>+IF(A10&gt;0,"Nayrut Flores","")</f>
      </c>
      <c r="O10" s="1"/>
      <c r="P10" s="1"/>
      <c r="Q10" s="33">
        <f>+LEN(U10)</f>
      </c>
      <c r="R10" s="1" t="s">
        <v>142</v>
      </c>
      <c r="S10" s="1" t="s">
        <v>231</v>
      </c>
      <c r="T10" s="1" t="s">
        <v>169</v>
      </c>
      <c r="U10" s="1" t="s">
        <v>1025</v>
      </c>
      <c r="V10" s="1" t="s">
        <v>232</v>
      </c>
      <c r="W10" s="89">
        <v>3547.42</v>
      </c>
      <c r="X10" s="1" t="s">
        <v>217</v>
      </c>
      <c r="Y10" s="1" t="s">
        <v>1059</v>
      </c>
      <c r="Z10" s="1" t="s">
        <v>241</v>
      </c>
      <c r="AA10" s="1" t="s">
        <v>1060</v>
      </c>
      <c r="AB10" s="1" t="s">
        <v>162</v>
      </c>
      <c r="AC10" s="1" t="s">
        <v>1047</v>
      </c>
      <c r="AD10" s="1" t="s">
        <v>1048</v>
      </c>
      <c r="AE10" s="1"/>
    </row>
    <row x14ac:dyDescent="0.25" r="11" customHeight="1" ht="18.75">
      <c r="A11" s="33">
        <f>+BD!AE12</f>
      </c>
      <c r="B11" s="108">
        <f>IF(A11=0,"",VLOOKUP(+VLOOKUP(A11,Tabla3[],'Registro de Operaciones'!$F$6,FALSE),DOI_Tipo,2,FALSE))</f>
      </c>
      <c r="C11" s="109">
        <f>IF(A11=0,"",+VLOOKUP(A11,Tabla3[#All],'Registro de Operaciones'!$G$6,FALSE))</f>
      </c>
      <c r="D11" s="99">
        <f>IF(A11=0,"",VLOOKUP(+VLOOKUP(A11,Tabla3[],'Registro de Operaciones'!$N$6,FALSE),Tipo_Abono,2,FALSE))</f>
        <v>25568.791666666668</v>
      </c>
      <c r="E11" s="95">
        <f>IF(A11=0,"",+VLOOKUP(A11,Tabla3[],'Registro de Operaciones'!$O$6,FALSE))</f>
      </c>
      <c r="F11" s="95">
        <f>IF(A11=0,"",+VLOOKUP(A11,Tabla3[],'Registro de Operaciones'!$H$6,FALSE))</f>
      </c>
      <c r="G11" s="97">
        <f>IF(A11=0,"",ROUND(+VLOOKUP(A11,Tabla3[],'Registro de Operaciones'!$U$6,FALSE),2))</f>
      </c>
      <c r="H11" s="96">
        <f>IF(A11=0,"",VLOOKUP(+VLOOKUP(A11,Tabla3[],'Registro de Operaciones'!$I$6,FALSE),Tipo_Recibo,2,FALSE))</f>
      </c>
      <c r="I11" s="95">
        <f>IF(A11=0,"",+VLOOKUP(A11,Tabla3[],'Registro de Operaciones'!$J$6,FALSE))</f>
      </c>
      <c r="J11" s="96">
        <f>+IF(A11&gt;0,"N","")</f>
      </c>
      <c r="K11" s="95">
        <f>IF(A11=0,"",+VLOOKUP(A11,Tabla3[],'Registro de Operaciones'!$L$6,FALSE))</f>
      </c>
      <c r="L11" s="96">
        <f>+IF(A11&gt;0,"E","")</f>
      </c>
      <c r="M11" s="98">
        <f>IF(A11=0,"",+VLOOKUP(A11,Tabla3[],'Registro de Operaciones'!$E$6,FALSE))</f>
      </c>
      <c r="N11" s="95">
        <f>+IF(A11&gt;0,"Nayrut Flores","")</f>
      </c>
      <c r="O11" s="1"/>
      <c r="P11" s="1"/>
      <c r="Q11" s="33">
        <f>+LEN(U11)</f>
      </c>
      <c r="R11" s="1"/>
      <c r="S11" s="1"/>
      <c r="T11" s="1"/>
      <c r="U11" s="1"/>
      <c r="V11" s="1"/>
      <c r="W11" s="101"/>
      <c r="X11" s="1"/>
      <c r="Y11" s="1"/>
      <c r="Z11" s="1"/>
      <c r="AA11" s="1"/>
      <c r="AB11" s="1"/>
      <c r="AC11" s="1"/>
      <c r="AD11" s="1"/>
      <c r="AE11" s="1"/>
    </row>
    <row x14ac:dyDescent="0.25" r="12" customHeight="1" ht="18.75">
      <c r="A12" s="33">
        <f>+BD!AE13</f>
      </c>
      <c r="B12" s="108">
        <f>IF(A12=0,"",VLOOKUP(+VLOOKUP(A12,Tabla3[],'Registro de Operaciones'!$F$6,FALSE),DOI_Tipo,2,FALSE))</f>
      </c>
      <c r="C12" s="109">
        <f>IF(A12=0,"",+VLOOKUP(A12,Tabla3[#All],'Registro de Operaciones'!$G$6,FALSE))</f>
      </c>
      <c r="D12" s="99">
        <f>IF(A12=0,"",VLOOKUP(+VLOOKUP(A12,Tabla3[],'Registro de Operaciones'!$N$6,FALSE),Tipo_Abono,2,FALSE))</f>
        <v>25568.791666666668</v>
      </c>
      <c r="E12" s="95">
        <f>IF(A12=0,"",+VLOOKUP(A12,Tabla3[],'Registro de Operaciones'!$O$6,FALSE))</f>
      </c>
      <c r="F12" s="95">
        <f>IF(A12=0,"",+VLOOKUP(A12,Tabla3[],'Registro de Operaciones'!$H$6,FALSE))</f>
      </c>
      <c r="G12" s="97">
        <f>IF(A12=0,"",ROUND(+VLOOKUP(A12,Tabla3[],'Registro de Operaciones'!$U$6,FALSE),2))</f>
      </c>
      <c r="H12" s="96">
        <f>IF(A12=0,"",VLOOKUP(+VLOOKUP(A12,Tabla3[],'Registro de Operaciones'!$I$6,FALSE),Tipo_Recibo,2,FALSE))</f>
      </c>
      <c r="I12" s="95">
        <f>IF(A12=0,"",+VLOOKUP(A12,Tabla3[],'Registro de Operaciones'!$J$6,FALSE))</f>
      </c>
      <c r="J12" s="96">
        <f>+IF(A12&gt;0,"N","")</f>
      </c>
      <c r="K12" s="95">
        <f>IF(A12=0,"",+VLOOKUP(A12,Tabla3[],'Registro de Operaciones'!$L$6,FALSE))</f>
      </c>
      <c r="L12" s="96">
        <f>+IF(A12&gt;0,"E","")</f>
      </c>
      <c r="M12" s="98">
        <f>IF(A12=0,"",+VLOOKUP(A12,Tabla3[],'Registro de Operaciones'!$E$6,FALSE))</f>
      </c>
      <c r="N12" s="95">
        <f>+IF(A12&gt;0,"Nayrut Flores","")</f>
      </c>
      <c r="O12" s="1"/>
      <c r="P12" s="1"/>
      <c r="Q12" s="33">
        <f>+LEN(U12)</f>
      </c>
      <c r="R12" s="1"/>
      <c r="S12" s="1"/>
      <c r="T12" s="1"/>
      <c r="U12" s="1"/>
      <c r="V12" s="1"/>
      <c r="W12" s="101"/>
      <c r="X12" s="1"/>
      <c r="Y12" s="1"/>
      <c r="Z12" s="1"/>
      <c r="AA12" s="1"/>
      <c r="AB12" s="1"/>
      <c r="AC12" s="1"/>
      <c r="AD12" s="1"/>
      <c r="AE12" s="1"/>
    </row>
    <row x14ac:dyDescent="0.25" r="13" customHeight="1" ht="18.75">
      <c r="A13" s="33">
        <f>+BD!AE14</f>
      </c>
      <c r="B13" s="108">
        <f>IF(A13=0,"",VLOOKUP(+VLOOKUP(A13,Tabla3[],'Registro de Operaciones'!$F$6,FALSE),DOI_Tipo,2,FALSE))</f>
      </c>
      <c r="C13" s="109">
        <f>IF(A13=0,"",+VLOOKUP(A13,Tabla3[#All],'Registro de Operaciones'!$G$6,FALSE))</f>
      </c>
      <c r="D13" s="99">
        <f>IF(A13=0,"",VLOOKUP(+VLOOKUP(A13,Tabla3[],'Registro de Operaciones'!$N$6,FALSE),Tipo_Abono,2,FALSE))</f>
        <v>25568.791666666668</v>
      </c>
      <c r="E13" s="95">
        <f>IF(A13=0,"",+VLOOKUP(A13,Tabla3[],'Registro de Operaciones'!$O$6,FALSE))</f>
      </c>
      <c r="F13" s="95">
        <f>IF(A13=0,"",+VLOOKUP(A13,Tabla3[],'Registro de Operaciones'!$H$6,FALSE))</f>
      </c>
      <c r="G13" s="97">
        <f>IF(A13=0,"",ROUND(+VLOOKUP(A13,Tabla3[],'Registro de Operaciones'!$U$6,FALSE),2))</f>
      </c>
      <c r="H13" s="96">
        <f>IF(A13=0,"",VLOOKUP(+VLOOKUP(A13,Tabla3[],'Registro de Operaciones'!$I$6,FALSE),Tipo_Recibo,2,FALSE))</f>
      </c>
      <c r="I13" s="95">
        <f>IF(A13=0,"",+VLOOKUP(A13,Tabla3[],'Registro de Operaciones'!$J$6,FALSE))</f>
      </c>
      <c r="J13" s="96">
        <f>+IF(A13&gt;0,"N","")</f>
      </c>
      <c r="K13" s="95">
        <f>IF(A13=0,"",+VLOOKUP(A13,Tabla3[],'Registro de Operaciones'!$L$6,FALSE))</f>
      </c>
      <c r="L13" s="96">
        <f>+IF(A13&gt;0,"E","")</f>
      </c>
      <c r="M13" s="98">
        <f>IF(A13=0,"",+VLOOKUP(A13,Tabla3[],'Registro de Operaciones'!$E$6,FALSE))</f>
      </c>
      <c r="N13" s="95">
        <f>+IF(A13&gt;0,"Nayrut Flores","")</f>
      </c>
      <c r="O13" s="1"/>
      <c r="P13" s="1"/>
      <c r="Q13" s="33">
        <f>+LEN(U13)</f>
      </c>
      <c r="R13" s="1"/>
      <c r="S13" s="1"/>
      <c r="T13" s="1"/>
      <c r="U13" s="1"/>
      <c r="V13" s="1"/>
      <c r="W13" s="101"/>
      <c r="X13" s="1"/>
      <c r="Y13" s="1"/>
      <c r="Z13" s="1"/>
      <c r="AA13" s="1"/>
      <c r="AB13" s="1"/>
      <c r="AC13" s="1"/>
      <c r="AD13" s="1"/>
      <c r="AE13" s="1"/>
    </row>
    <row x14ac:dyDescent="0.25" r="14" customHeight="1" ht="18.75">
      <c r="A14" s="33">
        <f>+BD!AE15</f>
      </c>
      <c r="B14" s="108">
        <f>IF(A14=0,"",VLOOKUP(+VLOOKUP(A14,Tabla3[],'Registro de Operaciones'!$F$6,FALSE),DOI_Tipo,2,FALSE))</f>
      </c>
      <c r="C14" s="109">
        <f>IF(A14=0,"",+VLOOKUP(A14,Tabla3[#All],'Registro de Operaciones'!$G$6,FALSE))</f>
      </c>
      <c r="D14" s="99">
        <f>IF(A14=0,"",VLOOKUP(+VLOOKUP(A14,Tabla3[],'Registro de Operaciones'!$N$6,FALSE),Tipo_Abono,2,FALSE))</f>
        <v>25568.791666666668</v>
      </c>
      <c r="E14" s="95">
        <f>IF(A14=0,"",+VLOOKUP(A14,Tabla3[],'Registro de Operaciones'!$O$6,FALSE))</f>
      </c>
      <c r="F14" s="95">
        <f>IF(A14=0,"",+VLOOKUP(A14,Tabla3[],'Registro de Operaciones'!$H$6,FALSE))</f>
      </c>
      <c r="G14" s="97">
        <f>IF(A14=0,"",ROUND(+VLOOKUP(A14,Tabla3[],'Registro de Operaciones'!$U$6,FALSE),2))</f>
      </c>
      <c r="H14" s="96">
        <f>IF(A14=0,"",VLOOKUP(+VLOOKUP(A14,Tabla3[],'Registro de Operaciones'!$I$6,FALSE),Tipo_Recibo,2,FALSE))</f>
      </c>
      <c r="I14" s="95">
        <f>IF(A14=0,"",+VLOOKUP(A14,Tabla3[],'Registro de Operaciones'!$J$6,FALSE))</f>
      </c>
      <c r="J14" s="96">
        <f>+IF(A14&gt;0,"N","")</f>
      </c>
      <c r="K14" s="95">
        <f>IF(A14=0,"",+VLOOKUP(A14,Tabla3[],'Registro de Operaciones'!$L$6,FALSE))</f>
      </c>
      <c r="L14" s="96">
        <f>+IF(A14&gt;0,"E","")</f>
      </c>
      <c r="M14" s="98">
        <f>IF(A14=0,"",+VLOOKUP(A14,Tabla3[],'Registro de Operaciones'!$E$6,FALSE))</f>
      </c>
      <c r="N14" s="95">
        <f>+IF(A14&gt;0,"Nayrut Flores","")</f>
      </c>
      <c r="O14" s="1"/>
      <c r="P14" s="1"/>
      <c r="Q14" s="33">
        <f>+LEN(U14)</f>
      </c>
      <c r="R14" s="1"/>
      <c r="S14" s="1"/>
      <c r="T14" s="1"/>
      <c r="U14" s="1"/>
      <c r="V14" s="1"/>
      <c r="W14" s="101"/>
      <c r="X14" s="1"/>
      <c r="Y14" s="1"/>
      <c r="Z14" s="1"/>
      <c r="AA14" s="1"/>
      <c r="AB14" s="1"/>
      <c r="AC14" s="1"/>
      <c r="AD14" s="1"/>
      <c r="AE14" s="1"/>
    </row>
    <row x14ac:dyDescent="0.25" r="15" customHeight="1" ht="18.75">
      <c r="A15" s="33">
        <f>+BD!AE16</f>
      </c>
      <c r="B15" s="108">
        <f>IF(A15=0,"",VLOOKUP(+VLOOKUP(A15,Tabla3[],'Registro de Operaciones'!$F$6,FALSE),DOI_Tipo,2,FALSE))</f>
      </c>
      <c r="C15" s="109">
        <f>IF(A15=0,"",+VLOOKUP(A15,Tabla3[#All],'Registro de Operaciones'!$G$6,FALSE))</f>
      </c>
      <c r="D15" s="99">
        <f>IF(A15=0,"",VLOOKUP(+VLOOKUP(A15,Tabla3[],'Registro de Operaciones'!$N$6,FALSE),Tipo_Abono,2,FALSE))</f>
        <v>25568.791666666668</v>
      </c>
      <c r="E15" s="95">
        <f>IF(A15=0,"",+VLOOKUP(A15,Tabla3[],'Registro de Operaciones'!$O$6,FALSE))</f>
      </c>
      <c r="F15" s="95">
        <f>IF(A15=0,"",+VLOOKUP(A15,Tabla3[],'Registro de Operaciones'!$H$6,FALSE))</f>
      </c>
      <c r="G15" s="97">
        <f>IF(A15=0,"",ROUND(+VLOOKUP(A15,Tabla3[],'Registro de Operaciones'!$U$6,FALSE),2))</f>
      </c>
      <c r="H15" s="96">
        <f>IF(A15=0,"",VLOOKUP(+VLOOKUP(A15,Tabla3[],'Registro de Operaciones'!$I$6,FALSE),Tipo_Recibo,2,FALSE))</f>
      </c>
      <c r="I15" s="95">
        <f>IF(A15=0,"",+VLOOKUP(A15,Tabla3[],'Registro de Operaciones'!$J$6,FALSE))</f>
      </c>
      <c r="J15" s="96">
        <f>+IF(A15&gt;0,"N","")</f>
      </c>
      <c r="K15" s="95">
        <f>IF(A15=0,"",+VLOOKUP(A15,Tabla3[],'Registro de Operaciones'!$L$6,FALSE))</f>
      </c>
      <c r="L15" s="96">
        <f>+IF(A15&gt;0,"E","")</f>
      </c>
      <c r="M15" s="98">
        <f>IF(A15=0,"",+VLOOKUP(A15,Tabla3[],'Registro de Operaciones'!$E$6,FALSE))</f>
      </c>
      <c r="N15" s="95">
        <f>+IF(A15&gt;0,"Nayrut Flores","")</f>
      </c>
      <c r="O15" s="1"/>
      <c r="P15" s="1"/>
      <c r="Q15" s="33">
        <f>+LEN(U15)</f>
      </c>
      <c r="R15" s="1"/>
      <c r="S15" s="1"/>
      <c r="T15" s="1"/>
      <c r="U15" s="1"/>
      <c r="V15" s="1"/>
      <c r="W15" s="101"/>
      <c r="X15" s="1"/>
      <c r="Y15" s="1"/>
      <c r="Z15" s="1"/>
      <c r="AA15" s="1"/>
      <c r="AB15" s="1"/>
      <c r="AC15" s="1"/>
      <c r="AD15" s="1"/>
      <c r="AE15" s="1"/>
    </row>
    <row x14ac:dyDescent="0.25" r="16" customHeight="1" ht="18.75">
      <c r="A16" s="33">
        <f>+BD!AE17</f>
      </c>
      <c r="B16" s="108">
        <f>IF(A16=0,"",VLOOKUP(+VLOOKUP(A16,Tabla3[],'Registro de Operaciones'!$F$6,FALSE),DOI_Tipo,2,FALSE))</f>
      </c>
      <c r="C16" s="109">
        <f>IF(A16=0,"",+VLOOKUP(A16,Tabla3[#All],'Registro de Operaciones'!$G$6,FALSE))</f>
      </c>
      <c r="D16" s="99">
        <f>IF(A16=0,"",VLOOKUP(+VLOOKUP(A16,Tabla3[],'Registro de Operaciones'!$N$6,FALSE),Tipo_Abono,2,FALSE))</f>
        <v>25568.791666666668</v>
      </c>
      <c r="E16" s="95">
        <f>IF(A16=0,"",+VLOOKUP(A16,Tabla3[],'Registro de Operaciones'!$O$6,FALSE))</f>
      </c>
      <c r="F16" s="95">
        <f>IF(A16=0,"",+VLOOKUP(A16,Tabla3[],'Registro de Operaciones'!$H$6,FALSE))</f>
      </c>
      <c r="G16" s="97">
        <f>IF(A16=0,"",ROUND(+VLOOKUP(A16,Tabla3[],'Registro de Operaciones'!$U$6,FALSE),2))</f>
      </c>
      <c r="H16" s="96">
        <f>IF(A16=0,"",VLOOKUP(+VLOOKUP(A16,Tabla3[],'Registro de Operaciones'!$I$6,FALSE),Tipo_Recibo,2,FALSE))</f>
      </c>
      <c r="I16" s="95">
        <f>IF(A16=0,"",+VLOOKUP(A16,Tabla3[],'Registro de Operaciones'!$J$6,FALSE))</f>
      </c>
      <c r="J16" s="96">
        <f>+IF(A16&gt;0,"N","")</f>
      </c>
      <c r="K16" s="95">
        <f>IF(A16=0,"",+VLOOKUP(A16,Tabla3[],'Registro de Operaciones'!$L$6,FALSE))</f>
      </c>
      <c r="L16" s="96">
        <f>+IF(A16&gt;0,"E","")</f>
      </c>
      <c r="M16" s="98">
        <f>IF(A16=0,"",+VLOOKUP(A16,Tabla3[],'Registro de Operaciones'!$E$6,FALSE))</f>
      </c>
      <c r="N16" s="95">
        <f>+IF(A16&gt;0,"Nayrut Flores","")</f>
      </c>
      <c r="O16" s="1"/>
      <c r="P16" s="1"/>
      <c r="Q16" s="33">
        <f>+LEN(U16)</f>
      </c>
      <c r="R16" s="1"/>
      <c r="S16" s="1"/>
      <c r="T16" s="1"/>
      <c r="U16" s="1"/>
      <c r="V16" s="1"/>
      <c r="W16" s="101"/>
      <c r="X16" s="1"/>
      <c r="Y16" s="1"/>
      <c r="Z16" s="1"/>
      <c r="AA16" s="1"/>
      <c r="AB16" s="1"/>
      <c r="AC16" s="1"/>
      <c r="AD16" s="1"/>
      <c r="AE16" s="1"/>
    </row>
    <row x14ac:dyDescent="0.25" r="17" customHeight="1" ht="18.75">
      <c r="A17" s="33">
        <f>+BD!AE18</f>
      </c>
      <c r="B17" s="108">
        <f>IF(A17=0,"",VLOOKUP(+VLOOKUP(A17,Tabla3[],'Registro de Operaciones'!$F$6,FALSE),DOI_Tipo,2,FALSE))</f>
      </c>
      <c r="C17" s="109">
        <f>IF(A17=0,"",+VLOOKUP(A17,Tabla3[#All],'Registro de Operaciones'!$G$6,FALSE))</f>
      </c>
      <c r="D17" s="99">
        <f>IF(A17=0,"",VLOOKUP(+VLOOKUP(A17,Tabla3[],'Registro de Operaciones'!$N$6,FALSE),Tipo_Abono,2,FALSE))</f>
        <v>25568.791666666668</v>
      </c>
      <c r="E17" s="95">
        <f>IF(A17=0,"",+VLOOKUP(A17,Tabla3[],'Registro de Operaciones'!$O$6,FALSE))</f>
      </c>
      <c r="F17" s="95">
        <f>IF(A17=0,"",+VLOOKUP(A17,Tabla3[],'Registro de Operaciones'!$H$6,FALSE))</f>
      </c>
      <c r="G17" s="97">
        <f>IF(A17=0,"",ROUND(+VLOOKUP(A17,Tabla3[],'Registro de Operaciones'!$U$6,FALSE),2))</f>
      </c>
      <c r="H17" s="96">
        <f>IF(A17=0,"",VLOOKUP(+VLOOKUP(A17,Tabla3[],'Registro de Operaciones'!$I$6,FALSE),Tipo_Recibo,2,FALSE))</f>
      </c>
      <c r="I17" s="95">
        <f>IF(A17=0,"",+VLOOKUP(A17,Tabla3[],'Registro de Operaciones'!$J$6,FALSE))</f>
      </c>
      <c r="J17" s="96">
        <f>+IF(A17&gt;0,"N","")</f>
      </c>
      <c r="K17" s="95">
        <f>IF(A17=0,"",+VLOOKUP(A17,Tabla3[],'Registro de Operaciones'!$L$6,FALSE))</f>
      </c>
      <c r="L17" s="96">
        <f>+IF(A17&gt;0,"E","")</f>
      </c>
      <c r="M17" s="98">
        <f>IF(A17=0,"",+VLOOKUP(A17,Tabla3[],'Registro de Operaciones'!$E$6,FALSE))</f>
      </c>
      <c r="N17" s="95">
        <f>+IF(A17&gt;0,"Nayrut Flores","")</f>
      </c>
      <c r="O17" s="1"/>
      <c r="P17" s="1"/>
      <c r="Q17" s="33">
        <f>+LEN(U17)</f>
      </c>
      <c r="R17" s="1"/>
      <c r="S17" s="1"/>
      <c r="T17" s="1"/>
      <c r="U17" s="1"/>
      <c r="V17" s="1"/>
      <c r="W17" s="101"/>
      <c r="X17" s="1"/>
      <c r="Y17" s="1"/>
      <c r="Z17" s="1"/>
      <c r="AA17" s="1"/>
      <c r="AB17" s="1"/>
      <c r="AC17" s="1"/>
      <c r="AD17" s="1"/>
      <c r="AE17" s="1"/>
    </row>
    <row x14ac:dyDescent="0.25" r="18" customHeight="1" ht="18.75">
      <c r="A18" s="33">
        <f>+BD!AE19</f>
      </c>
      <c r="B18" s="108">
        <f>IF(A18=0,"",VLOOKUP(+VLOOKUP(A18,Tabla3[],'Registro de Operaciones'!$F$6,FALSE),DOI_Tipo,2,FALSE))</f>
      </c>
      <c r="C18" s="109">
        <f>IF(A18=0,"",+VLOOKUP(A18,Tabla3[#All],'Registro de Operaciones'!$G$6,FALSE))</f>
      </c>
      <c r="D18" s="99">
        <f>IF(A18=0,"",VLOOKUP(+VLOOKUP(A18,Tabla3[],'Registro de Operaciones'!$N$6,FALSE),Tipo_Abono,2,FALSE))</f>
        <v>25568.791666666668</v>
      </c>
      <c r="E18" s="95">
        <f>IF(A18=0,"",+VLOOKUP(A18,Tabla3[],'Registro de Operaciones'!$O$6,FALSE))</f>
      </c>
      <c r="F18" s="95">
        <f>IF(A18=0,"",+VLOOKUP(A18,Tabla3[],'Registro de Operaciones'!$H$6,FALSE))</f>
      </c>
      <c r="G18" s="97">
        <f>IF(A18=0,"",ROUND(+VLOOKUP(A18,Tabla3[],'Registro de Operaciones'!$U$6,FALSE),2))</f>
      </c>
      <c r="H18" s="96">
        <f>IF(A18=0,"",VLOOKUP(+VLOOKUP(A18,Tabla3[],'Registro de Operaciones'!$I$6,FALSE),Tipo_Recibo,2,FALSE))</f>
      </c>
      <c r="I18" s="95">
        <f>IF(A18=0,"",+VLOOKUP(A18,Tabla3[],'Registro de Operaciones'!$J$6,FALSE))</f>
      </c>
      <c r="J18" s="96">
        <f>+IF(A18&gt;0,"N","")</f>
      </c>
      <c r="K18" s="95">
        <f>IF(A18=0,"",+VLOOKUP(A18,Tabla3[],'Registro de Operaciones'!$L$6,FALSE))</f>
      </c>
      <c r="L18" s="96">
        <f>+IF(A18&gt;0,"E","")</f>
      </c>
      <c r="M18" s="98">
        <f>IF(A18=0,"",+VLOOKUP(A18,Tabla3[],'Registro de Operaciones'!$E$6,FALSE))</f>
      </c>
      <c r="N18" s="95">
        <f>+IF(A18&gt;0,"Nayrut Flores","")</f>
      </c>
      <c r="O18" s="1"/>
      <c r="P18" s="1"/>
      <c r="Q18" s="33">
        <f>+LEN(U18)</f>
      </c>
      <c r="R18" s="1"/>
      <c r="S18" s="1"/>
      <c r="T18" s="1"/>
      <c r="U18" s="1"/>
      <c r="V18" s="1"/>
      <c r="W18" s="101"/>
      <c r="X18" s="1"/>
      <c r="Y18" s="1"/>
      <c r="Z18" s="1"/>
      <c r="AA18" s="1"/>
      <c r="AB18" s="1"/>
      <c r="AC18" s="1"/>
      <c r="AD18" s="1"/>
      <c r="AE18" s="1"/>
    </row>
    <row x14ac:dyDescent="0.25" r="19" customHeight="1" ht="18.75">
      <c r="A19" s="33">
        <f>+BD!AE20</f>
      </c>
      <c r="B19" s="108">
        <f>IF(A19=0,"",VLOOKUP(+VLOOKUP(A19,Tabla3[],'Registro de Operaciones'!$F$6,FALSE),DOI_Tipo,2,FALSE))</f>
      </c>
      <c r="C19" s="109">
        <f>IF(A19=0,"",+VLOOKUP(A19,Tabla3[#All],'Registro de Operaciones'!$G$6,FALSE))</f>
      </c>
      <c r="D19" s="99">
        <f>IF(A19=0,"",VLOOKUP(+VLOOKUP(A19,Tabla3[],'Registro de Operaciones'!$N$6,FALSE),Tipo_Abono,2,FALSE))</f>
        <v>25568.791666666668</v>
      </c>
      <c r="E19" s="95">
        <f>IF(A19=0,"",+VLOOKUP(A19,Tabla3[],'Registro de Operaciones'!$O$6,FALSE))</f>
      </c>
      <c r="F19" s="95">
        <f>IF(A19=0,"",+VLOOKUP(A19,Tabla3[],'Registro de Operaciones'!$H$6,FALSE))</f>
      </c>
      <c r="G19" s="97">
        <f>IF(A19=0,"",ROUND(+VLOOKUP(A19,Tabla3[],'Registro de Operaciones'!$U$6,FALSE),2))</f>
      </c>
      <c r="H19" s="96">
        <f>IF(A19=0,"",VLOOKUP(+VLOOKUP(A19,Tabla3[],'Registro de Operaciones'!$I$6,FALSE),Tipo_Recibo,2,FALSE))</f>
      </c>
      <c r="I19" s="95">
        <f>IF(A19=0,"",+VLOOKUP(A19,Tabla3[],'Registro de Operaciones'!$J$6,FALSE))</f>
      </c>
      <c r="J19" s="96">
        <f>+IF(A19&gt;0,"N","")</f>
      </c>
      <c r="K19" s="95">
        <f>IF(A19=0,"",+VLOOKUP(A19,Tabla3[],'Registro de Operaciones'!$L$6,FALSE))</f>
      </c>
      <c r="L19" s="96">
        <f>+IF(A19&gt;0,"E","")</f>
      </c>
      <c r="M19" s="98">
        <f>IF(A19=0,"",+VLOOKUP(A19,Tabla3[],'Registro de Operaciones'!$E$6,FALSE))</f>
      </c>
      <c r="N19" s="95">
        <f>+IF(A19&gt;0,"Nayrut Flores","")</f>
      </c>
      <c r="O19" s="1"/>
      <c r="P19" s="1"/>
      <c r="Q19" s="33">
        <f>+LEN(U19)</f>
      </c>
      <c r="R19" s="1"/>
      <c r="S19" s="1"/>
      <c r="T19" s="1"/>
      <c r="U19" s="1"/>
      <c r="V19" s="1"/>
      <c r="W19" s="101"/>
      <c r="X19" s="1"/>
      <c r="Y19" s="1"/>
      <c r="Z19" s="1"/>
      <c r="AA19" s="1"/>
      <c r="AB19" s="1"/>
      <c r="AC19" s="1"/>
      <c r="AD19" s="1"/>
      <c r="AE19" s="1"/>
    </row>
    <row x14ac:dyDescent="0.25" r="20" customHeight="1" ht="18.75">
      <c r="A20" s="33">
        <f>+BD!AE21</f>
      </c>
      <c r="B20" s="108">
        <f>IF(A20=0,"",VLOOKUP(+VLOOKUP(A20,Tabla3[],'Registro de Operaciones'!$F$6,FALSE),DOI_Tipo,2,FALSE))</f>
      </c>
      <c r="C20" s="109">
        <f>IF(A20=0,"",+VLOOKUP(A20,Tabla3[#All],'Registro de Operaciones'!$G$6,FALSE))</f>
      </c>
      <c r="D20" s="99">
        <f>IF(A20=0,"",VLOOKUP(+VLOOKUP(A20,Tabla3[],'Registro de Operaciones'!$N$6,FALSE),Tipo_Abono,2,FALSE))</f>
        <v>25568.791666666668</v>
      </c>
      <c r="E20" s="95">
        <f>IF(A20=0,"",+VLOOKUP(A20,Tabla3[],'Registro de Operaciones'!$O$6,FALSE))</f>
      </c>
      <c r="F20" s="95">
        <f>IF(A20=0,"",+VLOOKUP(A20,Tabla3[],'Registro de Operaciones'!$H$6,FALSE))</f>
      </c>
      <c r="G20" s="97">
        <f>IF(A20=0,"",ROUND(+VLOOKUP(A20,Tabla3[],'Registro de Operaciones'!$U$6,FALSE),2))</f>
      </c>
      <c r="H20" s="96">
        <f>IF(A20=0,"",VLOOKUP(+VLOOKUP(A20,Tabla3[],'Registro de Operaciones'!$I$6,FALSE),Tipo_Recibo,2,FALSE))</f>
      </c>
      <c r="I20" s="95">
        <f>IF(A20=0,"",+VLOOKUP(A20,Tabla3[],'Registro de Operaciones'!$J$6,FALSE))</f>
      </c>
      <c r="J20" s="96">
        <f>+IF(A20&gt;0,"N","")</f>
      </c>
      <c r="K20" s="95">
        <f>IF(A20=0,"",+VLOOKUP(A20,Tabla3[],'Registro de Operaciones'!$L$6,FALSE))</f>
      </c>
      <c r="L20" s="96">
        <f>+IF(A20&gt;0,"E","")</f>
      </c>
      <c r="M20" s="98">
        <f>IF(A20=0,"",+VLOOKUP(A20,Tabla3[],'Registro de Operaciones'!$E$6,FALSE))</f>
      </c>
      <c r="N20" s="95">
        <f>+IF(A20&gt;0,"Nayrut Flores","")</f>
      </c>
      <c r="O20" s="1"/>
      <c r="P20" s="1"/>
      <c r="Q20" s="33">
        <f>+LEN(U20)</f>
      </c>
      <c r="R20" s="1"/>
      <c r="S20" s="1"/>
      <c r="T20" s="1"/>
      <c r="U20" s="1"/>
      <c r="V20" s="1"/>
      <c r="W20" s="101"/>
      <c r="X20" s="1"/>
      <c r="Y20" s="1"/>
      <c r="Z20" s="1"/>
      <c r="AA20" s="1"/>
      <c r="AB20" s="1"/>
      <c r="AC20" s="1"/>
      <c r="AD20" s="1"/>
      <c r="AE20" s="1"/>
    </row>
    <row x14ac:dyDescent="0.25" r="21" customHeight="1" ht="18.75">
      <c r="A21" s="33">
        <f>+BD!AE22</f>
      </c>
      <c r="B21" s="108">
        <f>IF(A21=0,"",VLOOKUP(+VLOOKUP(A21,Tabla3[],'Registro de Operaciones'!$F$6,FALSE),DOI_Tipo,2,FALSE))</f>
      </c>
      <c r="C21" s="109">
        <f>IF(A21=0,"",+VLOOKUP(A21,Tabla3[#All],'Registro de Operaciones'!$G$6,FALSE))</f>
      </c>
      <c r="D21" s="99">
        <f>IF(A21=0,"",VLOOKUP(+VLOOKUP(A21,Tabla3[],'Registro de Operaciones'!$N$6,FALSE),Tipo_Abono,2,FALSE))</f>
        <v>25568.791666666668</v>
      </c>
      <c r="E21" s="95">
        <f>IF(A21=0,"",+VLOOKUP(A21,Tabla3[],'Registro de Operaciones'!$O$6,FALSE))</f>
      </c>
      <c r="F21" s="95">
        <f>IF(A21=0,"",+VLOOKUP(A21,Tabla3[],'Registro de Operaciones'!$H$6,FALSE))</f>
      </c>
      <c r="G21" s="97">
        <f>IF(A21=0,"",ROUND(+VLOOKUP(A21,Tabla3[],'Registro de Operaciones'!$U$6,FALSE),2))</f>
      </c>
      <c r="H21" s="96">
        <f>IF(A21=0,"",VLOOKUP(+VLOOKUP(A21,Tabla3[],'Registro de Operaciones'!$I$6,FALSE),Tipo_Recibo,2,FALSE))</f>
      </c>
      <c r="I21" s="95">
        <f>IF(A21=0,"",+VLOOKUP(A21,Tabla3[],'Registro de Operaciones'!$J$6,FALSE))</f>
      </c>
      <c r="J21" s="96">
        <f>+IF(A21&gt;0,"N","")</f>
      </c>
      <c r="K21" s="95">
        <f>IF(A21=0,"",+VLOOKUP(A21,Tabla3[],'Registro de Operaciones'!$L$6,FALSE))</f>
      </c>
      <c r="L21" s="96">
        <f>+IF(A21&gt;0,"E","")</f>
      </c>
      <c r="M21" s="98">
        <f>IF(A21=0,"",+VLOOKUP(A21,Tabla3[],'Registro de Operaciones'!$E$6,FALSE))</f>
      </c>
      <c r="N21" s="95">
        <f>+IF(A21&gt;0,"Nayrut Flores","")</f>
      </c>
      <c r="O21" s="1"/>
      <c r="P21" s="1"/>
      <c r="Q21" s="33">
        <f>+LEN(U21)</f>
      </c>
      <c r="R21" s="1"/>
      <c r="S21" s="1"/>
      <c r="T21" s="1"/>
      <c r="U21" s="1"/>
      <c r="V21" s="1"/>
      <c r="W21" s="101"/>
      <c r="X21" s="1"/>
      <c r="Y21" s="1"/>
      <c r="Z21" s="1"/>
      <c r="AA21" s="1"/>
      <c r="AB21" s="1"/>
      <c r="AC21" s="1"/>
      <c r="AD21" s="1"/>
      <c r="AE21" s="1"/>
    </row>
    <row x14ac:dyDescent="0.25" r="22" customHeight="1" ht="18.75">
      <c r="A22" s="33">
        <f>+BD!AE23</f>
      </c>
      <c r="B22" s="108">
        <f>IF(A22=0,"",VLOOKUP(+VLOOKUP(A22,Tabla3[],'Registro de Operaciones'!$F$6,FALSE),DOI_Tipo,2,FALSE))</f>
      </c>
      <c r="C22" s="109">
        <f>IF(A22=0,"",+VLOOKUP(A22,Tabla3[#All],'Registro de Operaciones'!$G$6,FALSE))</f>
      </c>
      <c r="D22" s="99">
        <f>IF(A22=0,"",VLOOKUP(+VLOOKUP(A22,Tabla3[],'Registro de Operaciones'!$N$6,FALSE),Tipo_Abono,2,FALSE))</f>
        <v>25568.791666666668</v>
      </c>
      <c r="E22" s="95">
        <f>IF(A22=0,"",+VLOOKUP(A22,Tabla3[],'Registro de Operaciones'!$O$6,FALSE))</f>
      </c>
      <c r="F22" s="95">
        <f>IF(A22=0,"",+VLOOKUP(A22,Tabla3[],'Registro de Operaciones'!$H$6,FALSE))</f>
      </c>
      <c r="G22" s="97">
        <f>IF(A22=0,"",ROUND(+VLOOKUP(A22,Tabla3[],'Registro de Operaciones'!$U$6,FALSE),2))</f>
      </c>
      <c r="H22" s="96">
        <f>IF(A22=0,"",VLOOKUP(+VLOOKUP(A22,Tabla3[],'Registro de Operaciones'!$I$6,FALSE),Tipo_Recibo,2,FALSE))</f>
      </c>
      <c r="I22" s="95">
        <f>IF(A22=0,"",+VLOOKUP(A22,Tabla3[],'Registro de Operaciones'!$J$6,FALSE))</f>
      </c>
      <c r="J22" s="96">
        <f>+IF(A22&gt;0,"N","")</f>
      </c>
      <c r="K22" s="95">
        <f>IF(A22=0,"",+VLOOKUP(A22,Tabla3[],'Registro de Operaciones'!$L$6,FALSE))</f>
      </c>
      <c r="L22" s="96">
        <f>+IF(A22&gt;0,"E","")</f>
      </c>
      <c r="M22" s="98">
        <f>IF(A22=0,"",+VLOOKUP(A22,Tabla3[],'Registro de Operaciones'!$E$6,FALSE))</f>
      </c>
      <c r="N22" s="95">
        <f>+IF(A22&gt;0,"Nayrut Flores","")</f>
      </c>
      <c r="O22" s="1"/>
      <c r="P22" s="1"/>
      <c r="Q22" s="33">
        <f>+LEN(U22)</f>
      </c>
      <c r="R22" s="1"/>
      <c r="S22" s="1"/>
      <c r="T22" s="1"/>
      <c r="U22" s="1"/>
      <c r="V22" s="1"/>
      <c r="W22" s="101"/>
      <c r="X22" s="1"/>
      <c r="Y22" s="1"/>
      <c r="Z22" s="1"/>
      <c r="AA22" s="1"/>
      <c r="AB22" s="1"/>
      <c r="AC22" s="1"/>
      <c r="AD22" s="1"/>
      <c r="AE22" s="1"/>
    </row>
    <row x14ac:dyDescent="0.25" r="23" customHeight="1" ht="18.75">
      <c r="A23" s="33">
        <f>+BD!AE24</f>
      </c>
      <c r="B23" s="108">
        <f>IF(A23=0,"",VLOOKUP(+VLOOKUP(A23,Tabla3[],'Registro de Operaciones'!$F$6,FALSE),DOI_Tipo,2,FALSE))</f>
      </c>
      <c r="C23" s="109">
        <f>IF(A23=0,"",+VLOOKUP(A23,Tabla3[#All],'Registro de Operaciones'!$G$6,FALSE))</f>
      </c>
      <c r="D23" s="99">
        <f>IF(A23=0,"",VLOOKUP(+VLOOKUP(A23,Tabla3[],'Registro de Operaciones'!$N$6,FALSE),Tipo_Abono,2,FALSE))</f>
        <v>25568.791666666668</v>
      </c>
      <c r="E23" s="95">
        <f>IF(A23=0,"",+VLOOKUP(A23,Tabla3[],'Registro de Operaciones'!$O$6,FALSE))</f>
      </c>
      <c r="F23" s="95">
        <f>IF(A23=0,"",+VLOOKUP(A23,Tabla3[],'Registro de Operaciones'!$H$6,FALSE))</f>
      </c>
      <c r="G23" s="97">
        <f>IF(A23=0,"",ROUND(+VLOOKUP(A23,Tabla3[],'Registro de Operaciones'!$U$6,FALSE),2))</f>
      </c>
      <c r="H23" s="96">
        <f>IF(A23=0,"",VLOOKUP(+VLOOKUP(A23,Tabla3[],'Registro de Operaciones'!$I$6,FALSE),Tipo_Recibo,2,FALSE))</f>
      </c>
      <c r="I23" s="95">
        <f>IF(A23=0,"",+VLOOKUP(A23,Tabla3[],'Registro de Operaciones'!$J$6,FALSE))</f>
      </c>
      <c r="J23" s="96">
        <f>+IF(A23&gt;0,"N","")</f>
      </c>
      <c r="K23" s="95">
        <f>IF(A23=0,"",+VLOOKUP(A23,Tabla3[],'Registro de Operaciones'!$L$6,FALSE))</f>
      </c>
      <c r="L23" s="96">
        <f>+IF(A23&gt;0,"E","")</f>
      </c>
      <c r="M23" s="98">
        <f>IF(A23=0,"",+VLOOKUP(A23,Tabla3[],'Registro de Operaciones'!$E$6,FALSE))</f>
      </c>
      <c r="N23" s="95">
        <f>+IF(A23&gt;0,"Nayrut Flores","")</f>
      </c>
      <c r="O23" s="1"/>
      <c r="P23" s="1"/>
      <c r="Q23" s="33">
        <f>+LEN(U23)</f>
      </c>
      <c r="R23" s="1"/>
      <c r="S23" s="1"/>
      <c r="T23" s="1"/>
      <c r="U23" s="1"/>
      <c r="V23" s="1"/>
      <c r="W23" s="101"/>
      <c r="X23" s="1"/>
      <c r="Y23" s="1"/>
      <c r="Z23" s="1"/>
      <c r="AA23" s="1"/>
      <c r="AB23" s="1"/>
      <c r="AC23" s="1"/>
      <c r="AD23" s="1"/>
      <c r="AE23" s="1"/>
    </row>
    <row x14ac:dyDescent="0.25" r="24" customHeight="1" ht="18.75">
      <c r="A24" s="33">
        <f>+BD!AE25</f>
      </c>
      <c r="B24" s="108">
        <f>IF(A24=0,"",VLOOKUP(+VLOOKUP(A24,Tabla3[],'Registro de Operaciones'!$F$6,FALSE),DOI_Tipo,2,FALSE))</f>
      </c>
      <c r="C24" s="109">
        <f>IF(A24=0,"",+VLOOKUP(A24,Tabla3[#All],'Registro de Operaciones'!$G$6,FALSE))</f>
      </c>
      <c r="D24" s="99">
        <f>IF(A24=0,"",VLOOKUP(+VLOOKUP(A24,Tabla3[],'Registro de Operaciones'!$N$6,FALSE),Tipo_Abono,2,FALSE))</f>
        <v>25568.791666666668</v>
      </c>
      <c r="E24" s="95">
        <f>IF(A24=0,"",+VLOOKUP(A24,Tabla3[],'Registro de Operaciones'!$O$6,FALSE))</f>
      </c>
      <c r="F24" s="95">
        <f>IF(A24=0,"",+VLOOKUP(A24,Tabla3[],'Registro de Operaciones'!$H$6,FALSE))</f>
      </c>
      <c r="G24" s="97">
        <f>IF(A24=0,"",ROUND(+VLOOKUP(A24,Tabla3[],'Registro de Operaciones'!$U$6,FALSE),2))</f>
      </c>
      <c r="H24" s="96">
        <f>IF(A24=0,"",VLOOKUP(+VLOOKUP(A24,Tabla3[],'Registro de Operaciones'!$I$6,FALSE),Tipo_Recibo,2,FALSE))</f>
      </c>
      <c r="I24" s="95">
        <f>IF(A24=0,"",+VLOOKUP(A24,Tabla3[],'Registro de Operaciones'!$J$6,FALSE))</f>
      </c>
      <c r="J24" s="96">
        <f>+IF(A24&gt;0,"N","")</f>
      </c>
      <c r="K24" s="95">
        <f>IF(A24=0,"",+VLOOKUP(A24,Tabla3[],'Registro de Operaciones'!$L$6,FALSE))</f>
      </c>
      <c r="L24" s="96">
        <f>+IF(A24&gt;0,"E","")</f>
      </c>
      <c r="M24" s="98">
        <f>IF(A24=0,"",+VLOOKUP(A24,Tabla3[],'Registro de Operaciones'!$E$6,FALSE))</f>
      </c>
      <c r="N24" s="95">
        <f>+IF(A24&gt;0,"Nayrut Flores","")</f>
      </c>
      <c r="O24" s="1"/>
      <c r="P24" s="1"/>
      <c r="Q24" s="33">
        <f>+LEN(U24)</f>
      </c>
      <c r="R24" s="1"/>
      <c r="S24" s="1"/>
      <c r="T24" s="1"/>
      <c r="U24" s="1"/>
      <c r="V24" s="1"/>
      <c r="W24" s="101"/>
      <c r="X24" s="1"/>
      <c r="Y24" s="1"/>
      <c r="Z24" s="1"/>
      <c r="AA24" s="1"/>
      <c r="AB24" s="1"/>
      <c r="AC24" s="1"/>
      <c r="AD24" s="1"/>
      <c r="AE24" s="1"/>
    </row>
    <row x14ac:dyDescent="0.25" r="25" customHeight="1" ht="18.75">
      <c r="A25" s="33">
        <f>+BD!AE26</f>
      </c>
      <c r="B25" s="108">
        <f>IF(A25=0,"",VLOOKUP(+VLOOKUP(A25,Tabla3[],'Registro de Operaciones'!$F$6,FALSE),DOI_Tipo,2,FALSE))</f>
      </c>
      <c r="C25" s="109">
        <f>IF(A25=0,"",+VLOOKUP(A25,Tabla3[#All],'Registro de Operaciones'!$G$6,FALSE))</f>
      </c>
      <c r="D25" s="99">
        <f>IF(A25=0,"",VLOOKUP(+VLOOKUP(A25,Tabla3[],'Registro de Operaciones'!$N$6,FALSE),Tipo_Abono,2,FALSE))</f>
        <v>25568.791666666668</v>
      </c>
      <c r="E25" s="95">
        <f>IF(A25=0,"",+VLOOKUP(A25,Tabla3[],'Registro de Operaciones'!$O$6,FALSE))</f>
      </c>
      <c r="F25" s="95">
        <f>IF(A25=0,"",+VLOOKUP(A25,Tabla3[],'Registro de Operaciones'!$H$6,FALSE))</f>
      </c>
      <c r="G25" s="97">
        <f>IF(A25=0,"",ROUND(+VLOOKUP(A25,Tabla3[],'Registro de Operaciones'!$U$6,FALSE),2))</f>
      </c>
      <c r="H25" s="96">
        <f>IF(A25=0,"",VLOOKUP(+VLOOKUP(A25,Tabla3[],'Registro de Operaciones'!$I$6,FALSE),Tipo_Recibo,2,FALSE))</f>
      </c>
      <c r="I25" s="95">
        <f>IF(A25=0,"",+VLOOKUP(A25,Tabla3[],'Registro de Operaciones'!$J$6,FALSE))</f>
      </c>
      <c r="J25" s="96">
        <f>+IF(A25&gt;0,"N","")</f>
      </c>
      <c r="K25" s="95">
        <f>IF(A25=0,"",+VLOOKUP(A25,Tabla3[],'Registro de Operaciones'!$L$6,FALSE))</f>
      </c>
      <c r="L25" s="96">
        <f>+IF(A25&gt;0,"E","")</f>
      </c>
      <c r="M25" s="98">
        <f>IF(A25=0,"",+VLOOKUP(A25,Tabla3[],'Registro de Operaciones'!$E$6,FALSE))</f>
      </c>
      <c r="N25" s="95">
        <f>+IF(A25&gt;0,"Nayrut Flores","")</f>
      </c>
      <c r="O25" s="1"/>
      <c r="P25" s="1"/>
      <c r="Q25" s="33">
        <f>+LEN(U25)</f>
      </c>
      <c r="R25" s="1"/>
      <c r="S25" s="1"/>
      <c r="T25" s="1"/>
      <c r="U25" s="1"/>
      <c r="V25" s="1"/>
      <c r="W25" s="101"/>
      <c r="X25" s="1"/>
      <c r="Y25" s="1"/>
      <c r="Z25" s="1"/>
      <c r="AA25" s="1"/>
      <c r="AB25" s="1"/>
      <c r="AC25" s="1"/>
      <c r="AD25" s="1"/>
      <c r="AE25" s="1"/>
    </row>
    <row x14ac:dyDescent="0.25" r="26" customHeight="1" ht="18.75">
      <c r="A26" s="33">
        <f>+BD!AE27</f>
      </c>
      <c r="B26" s="108">
        <f>IF(A26=0,"",VLOOKUP(+VLOOKUP(A26,Tabla3[],'Registro de Operaciones'!$F$6,FALSE),DOI_Tipo,2,FALSE))</f>
      </c>
      <c r="C26" s="109">
        <f>IF(A26=0,"",+VLOOKUP(A26,Tabla3[#All],'Registro de Operaciones'!$G$6,FALSE))</f>
      </c>
      <c r="D26" s="99">
        <f>IF(A26=0,"",VLOOKUP(+VLOOKUP(A26,Tabla3[],'Registro de Operaciones'!$N$6,FALSE),Tipo_Abono,2,FALSE))</f>
        <v>25568.791666666668</v>
      </c>
      <c r="E26" s="95">
        <f>IF(A26=0,"",+VLOOKUP(A26,Tabla3[],'Registro de Operaciones'!$O$6,FALSE))</f>
      </c>
      <c r="F26" s="95">
        <f>IF(A26=0,"",+VLOOKUP(A26,Tabla3[],'Registro de Operaciones'!$H$6,FALSE))</f>
      </c>
      <c r="G26" s="97">
        <f>IF(A26=0,"",ROUND(+VLOOKUP(A26,Tabla3[],'Registro de Operaciones'!$U$6,FALSE),2))</f>
      </c>
      <c r="H26" s="96">
        <f>IF(A26=0,"",VLOOKUP(+VLOOKUP(A26,Tabla3[],'Registro de Operaciones'!$I$6,FALSE),Tipo_Recibo,2,FALSE))</f>
      </c>
      <c r="I26" s="95">
        <f>IF(A26=0,"",+VLOOKUP(A26,Tabla3[],'Registro de Operaciones'!$J$6,FALSE))</f>
      </c>
      <c r="J26" s="96">
        <f>+IF(A26&gt;0,"N","")</f>
      </c>
      <c r="K26" s="95">
        <f>IF(A26=0,"",+VLOOKUP(A26,Tabla3[],'Registro de Operaciones'!$L$6,FALSE))</f>
      </c>
      <c r="L26" s="96">
        <f>+IF(A26&gt;0,"E","")</f>
      </c>
      <c r="M26" s="98">
        <f>IF(A26=0,"",+VLOOKUP(A26,Tabla3[],'Registro de Operaciones'!$E$6,FALSE))</f>
      </c>
      <c r="N26" s="95">
        <f>+IF(A26&gt;0,"Nayrut Flores","")</f>
      </c>
      <c r="O26" s="1"/>
      <c r="P26" s="1"/>
      <c r="Q26" s="33">
        <f>+LEN(U26)</f>
      </c>
      <c r="R26" s="1"/>
      <c r="S26" s="1"/>
      <c r="T26" s="1"/>
      <c r="U26" s="1"/>
      <c r="V26" s="1"/>
      <c r="W26" s="101"/>
      <c r="X26" s="1"/>
      <c r="Y26" s="1"/>
      <c r="Z26" s="1"/>
      <c r="AA26" s="1"/>
      <c r="AB26" s="1"/>
      <c r="AC26" s="1"/>
      <c r="AD26" s="1"/>
      <c r="AE26" s="1"/>
    </row>
    <row x14ac:dyDescent="0.25" r="27" customHeight="1" ht="18.75">
      <c r="A27" s="33">
        <f>+BD!AE28</f>
      </c>
      <c r="B27" s="108">
        <f>IF(A27=0,"",VLOOKUP(+VLOOKUP(A27,Tabla3[],'Registro de Operaciones'!$F$6,FALSE),DOI_Tipo,2,FALSE))</f>
      </c>
      <c r="C27" s="109">
        <f>IF(A27=0,"",+VLOOKUP(A27,Tabla3[#All],'Registro de Operaciones'!$G$6,FALSE))</f>
      </c>
      <c r="D27" s="99">
        <f>IF(A27=0,"",VLOOKUP(+VLOOKUP(A27,Tabla3[],'Registro de Operaciones'!$N$6,FALSE),Tipo_Abono,2,FALSE))</f>
        <v>25568.791666666668</v>
      </c>
      <c r="E27" s="95">
        <f>IF(A27=0,"",+VLOOKUP(A27,Tabla3[],'Registro de Operaciones'!$O$6,FALSE))</f>
      </c>
      <c r="F27" s="95">
        <f>IF(A27=0,"",+VLOOKUP(A27,Tabla3[],'Registro de Operaciones'!$H$6,FALSE))</f>
      </c>
      <c r="G27" s="97">
        <f>IF(A27=0,"",ROUND(+VLOOKUP(A27,Tabla3[],'Registro de Operaciones'!$U$6,FALSE),2))</f>
      </c>
      <c r="H27" s="96">
        <f>IF(A27=0,"",VLOOKUP(+VLOOKUP(A27,Tabla3[],'Registro de Operaciones'!$I$6,FALSE),Tipo_Recibo,2,FALSE))</f>
      </c>
      <c r="I27" s="95">
        <f>IF(A27=0,"",+VLOOKUP(A27,Tabla3[],'Registro de Operaciones'!$J$6,FALSE))</f>
      </c>
      <c r="J27" s="96">
        <f>+IF(A27&gt;0,"N","")</f>
      </c>
      <c r="K27" s="95">
        <f>IF(A27=0,"",+VLOOKUP(A27,Tabla3[],'Registro de Operaciones'!$L$6,FALSE))</f>
      </c>
      <c r="L27" s="96">
        <f>+IF(A27&gt;0,"E","")</f>
      </c>
      <c r="M27" s="98">
        <f>IF(A27=0,"",+VLOOKUP(A27,Tabla3[],'Registro de Operaciones'!$E$6,FALSE))</f>
      </c>
      <c r="N27" s="95">
        <f>+IF(A27&gt;0,"Nayrut Flores","")</f>
      </c>
      <c r="O27" s="1"/>
      <c r="P27" s="1"/>
      <c r="Q27" s="33">
        <f>+LEN(U27)</f>
      </c>
      <c r="R27" s="1"/>
      <c r="S27" s="1"/>
      <c r="T27" s="1"/>
      <c r="U27" s="1"/>
      <c r="V27" s="1"/>
      <c r="W27" s="101"/>
      <c r="X27" s="1"/>
      <c r="Y27" s="1"/>
      <c r="Z27" s="1"/>
      <c r="AA27" s="1"/>
      <c r="AB27" s="1"/>
      <c r="AC27" s="1"/>
      <c r="AD27" s="1"/>
      <c r="AE27" s="1"/>
    </row>
    <row x14ac:dyDescent="0.25" r="28" customHeight="1" ht="18.75">
      <c r="A28" s="33">
        <f>+BD!AE29</f>
      </c>
      <c r="B28" s="108">
        <f>IF(A28=0,"",VLOOKUP(+VLOOKUP(A28,Tabla3[],'Registro de Operaciones'!$F$6,FALSE),DOI_Tipo,2,FALSE))</f>
      </c>
      <c r="C28" s="109">
        <f>IF(A28=0,"",+VLOOKUP(A28,Tabla3[#All],'Registro de Operaciones'!$G$6,FALSE))</f>
      </c>
      <c r="D28" s="99">
        <f>IF(A28=0,"",VLOOKUP(+VLOOKUP(A28,Tabla3[],'Registro de Operaciones'!$N$6,FALSE),Tipo_Abono,2,FALSE))</f>
        <v>25568.791666666668</v>
      </c>
      <c r="E28" s="95">
        <f>IF(A28=0,"",+VLOOKUP(A28,Tabla3[],'Registro de Operaciones'!$O$6,FALSE))</f>
      </c>
      <c r="F28" s="95">
        <f>IF(A28=0,"",+VLOOKUP(A28,Tabla3[],'Registro de Operaciones'!$H$6,FALSE))</f>
      </c>
      <c r="G28" s="97">
        <f>IF(A28=0,"",ROUND(+VLOOKUP(A28,Tabla3[],'Registro de Operaciones'!$U$6,FALSE),2))</f>
      </c>
      <c r="H28" s="96">
        <f>IF(A28=0,"",VLOOKUP(+VLOOKUP(A28,Tabla3[],'Registro de Operaciones'!$I$6,FALSE),Tipo_Recibo,2,FALSE))</f>
      </c>
      <c r="I28" s="95">
        <f>IF(A28=0,"",+VLOOKUP(A28,Tabla3[],'Registro de Operaciones'!$J$6,FALSE))</f>
      </c>
      <c r="J28" s="96">
        <f>+IF(A28&gt;0,"N","")</f>
      </c>
      <c r="K28" s="95">
        <f>IF(A28=0,"",+VLOOKUP(A28,Tabla3[],'Registro de Operaciones'!$L$6,FALSE))</f>
      </c>
      <c r="L28" s="96">
        <f>+IF(A28&gt;0,"E","")</f>
      </c>
      <c r="M28" s="98">
        <f>IF(A28=0,"",+VLOOKUP(A28,Tabla3[],'Registro de Operaciones'!$E$6,FALSE))</f>
      </c>
      <c r="N28" s="95">
        <f>+IF(A28&gt;0,"Nayrut Flores","")</f>
      </c>
      <c r="O28" s="1"/>
      <c r="P28" s="1"/>
      <c r="Q28" s="33">
        <f>+LEN(U28)</f>
      </c>
      <c r="R28" s="1"/>
      <c r="S28" s="1"/>
      <c r="T28" s="1"/>
      <c r="U28" s="1"/>
      <c r="V28" s="1"/>
      <c r="W28" s="101"/>
      <c r="X28" s="1"/>
      <c r="Y28" s="1"/>
      <c r="Z28" s="1"/>
      <c r="AA28" s="1"/>
      <c r="AB28" s="1"/>
      <c r="AC28" s="1"/>
      <c r="AD28" s="1"/>
      <c r="AE28" s="1"/>
    </row>
    <row x14ac:dyDescent="0.25" r="29" customHeight="1" ht="18.75">
      <c r="A29" s="33">
        <f>+BD!AE30</f>
      </c>
      <c r="B29" s="108">
        <f>IF(A29=0,"",VLOOKUP(+VLOOKUP(A29,Tabla3[],'Registro de Operaciones'!$F$6,FALSE),DOI_Tipo,2,FALSE))</f>
      </c>
      <c r="C29" s="109">
        <f>IF(A29=0,"",+VLOOKUP(A29,Tabla3[#All],'Registro de Operaciones'!$G$6,FALSE))</f>
      </c>
      <c r="D29" s="99">
        <f>IF(A29=0,"",VLOOKUP(+VLOOKUP(A29,Tabla3[],'Registro de Operaciones'!$N$6,FALSE),Tipo_Abono,2,FALSE))</f>
        <v>25568.791666666668</v>
      </c>
      <c r="E29" s="95">
        <f>IF(A29=0,"",+VLOOKUP(A29,Tabla3[],'Registro de Operaciones'!$O$6,FALSE))</f>
      </c>
      <c r="F29" s="95">
        <f>IF(A29=0,"",+VLOOKUP(A29,Tabla3[],'Registro de Operaciones'!$H$6,FALSE))</f>
      </c>
      <c r="G29" s="97">
        <f>IF(A29=0,"",ROUND(+VLOOKUP(A29,Tabla3[],'Registro de Operaciones'!$U$6,FALSE),2))</f>
      </c>
      <c r="H29" s="96">
        <f>IF(A29=0,"",VLOOKUP(+VLOOKUP(A29,Tabla3[],'Registro de Operaciones'!$I$6,FALSE),Tipo_Recibo,2,FALSE))</f>
      </c>
      <c r="I29" s="95">
        <f>IF(A29=0,"",+VLOOKUP(A29,Tabla3[],'Registro de Operaciones'!$J$6,FALSE))</f>
      </c>
      <c r="J29" s="96">
        <f>+IF(A29&gt;0,"N","")</f>
      </c>
      <c r="K29" s="95">
        <f>IF(A29=0,"",+VLOOKUP(A29,Tabla3[],'Registro de Operaciones'!$L$6,FALSE))</f>
      </c>
      <c r="L29" s="96">
        <f>+IF(A29&gt;0,"E","")</f>
      </c>
      <c r="M29" s="98">
        <f>IF(A29=0,"",+VLOOKUP(A29,Tabla3[],'Registro de Operaciones'!$E$6,FALSE))</f>
      </c>
      <c r="N29" s="95">
        <f>+IF(A29&gt;0,"Nayrut Flores","")</f>
      </c>
      <c r="O29" s="1"/>
      <c r="P29" s="1"/>
      <c r="Q29" s="33">
        <f>+LEN(U29)</f>
      </c>
      <c r="R29" s="1"/>
      <c r="S29" s="1"/>
      <c r="T29" s="1"/>
      <c r="U29" s="1"/>
      <c r="V29" s="1"/>
      <c r="W29" s="101"/>
      <c r="X29" s="1"/>
      <c r="Y29" s="1"/>
      <c r="Z29" s="1"/>
      <c r="AA29" s="1"/>
      <c r="AB29" s="1"/>
      <c r="AC29" s="1"/>
      <c r="AD29" s="1"/>
      <c r="AE29" s="1"/>
    </row>
    <row x14ac:dyDescent="0.25" r="30" customHeight="1" ht="18.75">
      <c r="A30" s="33">
        <f>+BD!AE31</f>
      </c>
      <c r="B30" s="108">
        <f>IF(A30=0,"",VLOOKUP(+VLOOKUP(A30,Tabla3[],'Registro de Operaciones'!$F$6,FALSE),DOI_Tipo,2,FALSE))</f>
      </c>
      <c r="C30" s="109">
        <f>IF(A30=0,"",+VLOOKUP(A30,Tabla3[#All],'Registro de Operaciones'!$G$6,FALSE))</f>
      </c>
      <c r="D30" s="99">
        <f>IF(A30=0,"",VLOOKUP(+VLOOKUP(A30,Tabla3[],'Registro de Operaciones'!$N$6,FALSE),Tipo_Abono,2,FALSE))</f>
        <v>25568.791666666668</v>
      </c>
      <c r="E30" s="95">
        <f>IF(A30=0,"",+VLOOKUP(A30,Tabla3[],'Registro de Operaciones'!$O$6,FALSE))</f>
      </c>
      <c r="F30" s="95">
        <f>IF(A30=0,"",+VLOOKUP(A30,Tabla3[],'Registro de Operaciones'!$H$6,FALSE))</f>
      </c>
      <c r="G30" s="97">
        <f>IF(A30=0,"",ROUND(+VLOOKUP(A30,Tabla3[],'Registro de Operaciones'!$U$6,FALSE),2))</f>
      </c>
      <c r="H30" s="96">
        <f>IF(A30=0,"",VLOOKUP(+VLOOKUP(A30,Tabla3[],'Registro de Operaciones'!$I$6,FALSE),Tipo_Recibo,2,FALSE))</f>
      </c>
      <c r="I30" s="95">
        <f>IF(A30=0,"",+VLOOKUP(A30,Tabla3[],'Registro de Operaciones'!$J$6,FALSE))</f>
      </c>
      <c r="J30" s="96">
        <f>+IF(A30&gt;0,"N","")</f>
      </c>
      <c r="K30" s="95">
        <f>IF(A30=0,"",+VLOOKUP(A30,Tabla3[],'Registro de Operaciones'!$L$6,FALSE))</f>
      </c>
      <c r="L30" s="96">
        <f>+IF(A30&gt;0,"E","")</f>
      </c>
      <c r="M30" s="98">
        <f>IF(A30=0,"",+VLOOKUP(A30,Tabla3[],'Registro de Operaciones'!$E$6,FALSE))</f>
      </c>
      <c r="N30" s="95">
        <f>+IF(A30&gt;0,"Nayrut Flores","")</f>
      </c>
      <c r="O30" s="1"/>
      <c r="P30" s="1"/>
      <c r="Q30" s="33">
        <f>+LEN(U30)</f>
      </c>
      <c r="R30" s="1"/>
      <c r="S30" s="1"/>
      <c r="T30" s="1"/>
      <c r="U30" s="1"/>
      <c r="V30" s="1"/>
      <c r="W30" s="101"/>
      <c r="X30" s="1"/>
      <c r="Y30" s="1"/>
      <c r="Z30" s="1"/>
      <c r="AA30" s="1"/>
      <c r="AB30" s="1"/>
      <c r="AC30" s="1"/>
      <c r="AD30" s="1"/>
      <c r="AE30" s="1"/>
    </row>
    <row x14ac:dyDescent="0.25" r="31" customHeight="1" ht="18.75">
      <c r="A31" s="33">
        <f>+BD!AE32</f>
      </c>
      <c r="B31" s="108">
        <f>IF(A31=0,"",VLOOKUP(+VLOOKUP(A31,Tabla3[],'Registro de Operaciones'!$F$6,FALSE),DOI_Tipo,2,FALSE))</f>
      </c>
      <c r="C31" s="109">
        <f>IF(A31=0,"",+VLOOKUP(A31,Tabla3[#All],'Registro de Operaciones'!$G$6,FALSE))</f>
      </c>
      <c r="D31" s="99">
        <f>IF(A31=0,"",VLOOKUP(+VLOOKUP(A31,Tabla3[],'Registro de Operaciones'!$N$6,FALSE),Tipo_Abono,2,FALSE))</f>
        <v>25568.791666666668</v>
      </c>
      <c r="E31" s="95">
        <f>IF(A31=0,"",+VLOOKUP(A31,Tabla3[],'Registro de Operaciones'!$O$6,FALSE))</f>
      </c>
      <c r="F31" s="95">
        <f>IF(A31=0,"",+VLOOKUP(A31,Tabla3[],'Registro de Operaciones'!$H$6,FALSE))</f>
      </c>
      <c r="G31" s="97">
        <f>IF(A31=0,"",ROUND(+VLOOKUP(A31,Tabla3[],'Registro de Operaciones'!$U$6,FALSE),2))</f>
      </c>
      <c r="H31" s="96">
        <f>IF(A31=0,"",VLOOKUP(+VLOOKUP(A31,Tabla3[],'Registro de Operaciones'!$I$6,FALSE),Tipo_Recibo,2,FALSE))</f>
      </c>
      <c r="I31" s="95">
        <f>IF(A31=0,"",+VLOOKUP(A31,Tabla3[],'Registro de Operaciones'!$J$6,FALSE))</f>
      </c>
      <c r="J31" s="96">
        <f>+IF(A31&gt;0,"N","")</f>
      </c>
      <c r="K31" s="95">
        <f>IF(A31=0,"",+VLOOKUP(A31,Tabla3[],'Registro de Operaciones'!$L$6,FALSE))</f>
      </c>
      <c r="L31" s="96">
        <f>+IF(A31&gt;0,"E","")</f>
      </c>
      <c r="M31" s="98">
        <f>IF(A31=0,"",+VLOOKUP(A31,Tabla3[],'Registro de Operaciones'!$E$6,FALSE))</f>
      </c>
      <c r="N31" s="95">
        <f>+IF(A31&gt;0,"Nayrut Flores","")</f>
      </c>
      <c r="O31" s="1"/>
      <c r="P31" s="1"/>
      <c r="Q31" s="33">
        <f>+LEN(U31)</f>
      </c>
      <c r="R31" s="1"/>
      <c r="S31" s="1"/>
      <c r="T31" s="1"/>
      <c r="U31" s="1"/>
      <c r="V31" s="1"/>
      <c r="W31" s="101"/>
      <c r="X31" s="1"/>
      <c r="Y31" s="1"/>
      <c r="Z31" s="1"/>
      <c r="AA31" s="1"/>
      <c r="AB31" s="1"/>
      <c r="AC31" s="1"/>
      <c r="AD31" s="1"/>
      <c r="AE31" s="1"/>
    </row>
    <row x14ac:dyDescent="0.25" r="32" customHeight="1" ht="18.75">
      <c r="A32" s="33">
        <f>+BD!AE33</f>
      </c>
      <c r="B32" s="108">
        <f>IF(A32=0,"",VLOOKUP(+VLOOKUP(A32,Tabla3[],'Registro de Operaciones'!$F$6,FALSE),DOI_Tipo,2,FALSE))</f>
      </c>
      <c r="C32" s="109">
        <f>IF(A32=0,"",+VLOOKUP(A32,Tabla3[#All],'Registro de Operaciones'!$G$6,FALSE))</f>
      </c>
      <c r="D32" s="99">
        <f>IF(A32=0,"",VLOOKUP(+VLOOKUP(A32,Tabla3[],'Registro de Operaciones'!$N$6,FALSE),Tipo_Abono,2,FALSE))</f>
        <v>25568.791666666668</v>
      </c>
      <c r="E32" s="95">
        <f>IF(A32=0,"",+VLOOKUP(A32,Tabla3[],'Registro de Operaciones'!$O$6,FALSE))</f>
      </c>
      <c r="F32" s="95">
        <f>IF(A32=0,"",+VLOOKUP(A32,Tabla3[],'Registro de Operaciones'!$H$6,FALSE))</f>
      </c>
      <c r="G32" s="97">
        <f>IF(A32=0,"",ROUND(+VLOOKUP(A32,Tabla3[],'Registro de Operaciones'!$U$6,FALSE),2))</f>
      </c>
      <c r="H32" s="96">
        <f>IF(A32=0,"",VLOOKUP(+VLOOKUP(A32,Tabla3[],'Registro de Operaciones'!$I$6,FALSE),Tipo_Recibo,2,FALSE))</f>
      </c>
      <c r="I32" s="95">
        <f>IF(A32=0,"",+VLOOKUP(A32,Tabla3[],'Registro de Operaciones'!$J$6,FALSE))</f>
      </c>
      <c r="J32" s="96">
        <f>+IF(A32&gt;0,"N","")</f>
      </c>
      <c r="K32" s="95">
        <f>IF(A32=0,"",+VLOOKUP(A32,Tabla3[],'Registro de Operaciones'!$L$6,FALSE))</f>
      </c>
      <c r="L32" s="96">
        <f>+IF(A32&gt;0,"E","")</f>
      </c>
      <c r="M32" s="98">
        <f>IF(A32=0,"",+VLOOKUP(A32,Tabla3[],'Registro de Operaciones'!$E$6,FALSE))</f>
      </c>
      <c r="N32" s="95">
        <f>+IF(A32&gt;0,"Nayrut Flores","")</f>
      </c>
      <c r="O32" s="1"/>
      <c r="P32" s="1"/>
      <c r="Q32" s="33">
        <f>+LEN(U32)</f>
      </c>
      <c r="R32" s="1"/>
      <c r="S32" s="1"/>
      <c r="T32" s="1"/>
      <c r="U32" s="1"/>
      <c r="V32" s="1"/>
      <c r="W32" s="101"/>
      <c r="X32" s="1"/>
      <c r="Y32" s="1"/>
      <c r="Z32" s="1"/>
      <c r="AA32" s="1"/>
      <c r="AB32" s="1"/>
      <c r="AC32" s="1"/>
      <c r="AD32" s="1"/>
      <c r="AE32" s="1"/>
    </row>
    <row x14ac:dyDescent="0.25" r="33" customHeight="1" ht="18.75">
      <c r="A33" s="33">
        <f>+BD!AE34</f>
      </c>
      <c r="B33" s="108">
        <f>IF(A33=0,"",VLOOKUP(+VLOOKUP(A33,Tabla3[],'Registro de Operaciones'!$F$6,FALSE),DOI_Tipo,2,FALSE))</f>
      </c>
      <c r="C33" s="109">
        <f>IF(A33=0,"",+VLOOKUP(A33,Tabla3[#All],'Registro de Operaciones'!$G$6,FALSE))</f>
      </c>
      <c r="D33" s="99">
        <f>IF(A33=0,"",VLOOKUP(+VLOOKUP(A33,Tabla3[],'Registro de Operaciones'!$N$6,FALSE),Tipo_Abono,2,FALSE))</f>
        <v>25568.791666666668</v>
      </c>
      <c r="E33" s="95">
        <f>IF(A33=0,"",+VLOOKUP(A33,Tabla3[],'Registro de Operaciones'!$O$6,FALSE))</f>
      </c>
      <c r="F33" s="95">
        <f>IF(A33=0,"",+VLOOKUP(A33,Tabla3[],'Registro de Operaciones'!$H$6,FALSE))</f>
      </c>
      <c r="G33" s="97">
        <f>IF(A33=0,"",ROUND(+VLOOKUP(A33,Tabla3[],'Registro de Operaciones'!$U$6,FALSE),2))</f>
      </c>
      <c r="H33" s="96">
        <f>IF(A33=0,"",VLOOKUP(+VLOOKUP(A33,Tabla3[],'Registro de Operaciones'!$I$6,FALSE),Tipo_Recibo,2,FALSE))</f>
      </c>
      <c r="I33" s="95">
        <f>IF(A33=0,"",+VLOOKUP(A33,Tabla3[],'Registro de Operaciones'!$J$6,FALSE))</f>
      </c>
      <c r="J33" s="96">
        <f>+IF(A33&gt;0,"N","")</f>
      </c>
      <c r="K33" s="95">
        <f>IF(A33=0,"",+VLOOKUP(A33,Tabla3[],'Registro de Operaciones'!$L$6,FALSE))</f>
      </c>
      <c r="L33" s="96">
        <f>+IF(A33&gt;0,"E","")</f>
      </c>
      <c r="M33" s="98">
        <f>IF(A33=0,"",+VLOOKUP(A33,Tabla3[],'Registro de Operaciones'!$E$6,FALSE))</f>
      </c>
      <c r="N33" s="95">
        <f>+IF(A33&gt;0,"Nayrut Flores","")</f>
      </c>
      <c r="O33" s="1"/>
      <c r="P33" s="1"/>
      <c r="Q33" s="33">
        <f>+LEN(U33)</f>
      </c>
      <c r="R33" s="1"/>
      <c r="S33" s="1"/>
      <c r="T33" s="1"/>
      <c r="U33" s="1"/>
      <c r="V33" s="1"/>
      <c r="W33" s="101"/>
      <c r="X33" s="1"/>
      <c r="Y33" s="1"/>
      <c r="Z33" s="1"/>
      <c r="AA33" s="1"/>
      <c r="AB33" s="1"/>
      <c r="AC33" s="1"/>
      <c r="AD33" s="1"/>
      <c r="AE33" s="1"/>
    </row>
    <row x14ac:dyDescent="0.25" r="34" customHeight="1" ht="18.75">
      <c r="A34" s="33">
        <f>+BD!AE35</f>
      </c>
      <c r="B34" s="108">
        <f>IF(A34=0,"",VLOOKUP(+VLOOKUP(A34,Tabla3[],'Registro de Operaciones'!$F$6,FALSE),DOI_Tipo,2,FALSE))</f>
      </c>
      <c r="C34" s="109">
        <f>IF(A34=0,"",+VLOOKUP(A34,Tabla3[#All],'Registro de Operaciones'!$G$6,FALSE))</f>
      </c>
      <c r="D34" s="99">
        <f>IF(A34=0,"",VLOOKUP(+VLOOKUP(A34,Tabla3[],'Registro de Operaciones'!$N$6,FALSE),Tipo_Abono,2,FALSE))</f>
        <v>25568.791666666668</v>
      </c>
      <c r="E34" s="95">
        <f>IF(A34=0,"",+VLOOKUP(A34,Tabla3[],'Registro de Operaciones'!$O$6,FALSE))</f>
      </c>
      <c r="F34" s="95">
        <f>IF(A34=0,"",+VLOOKUP(A34,Tabla3[],'Registro de Operaciones'!$H$6,FALSE))</f>
      </c>
      <c r="G34" s="97">
        <f>IF(A34=0,"",ROUND(+VLOOKUP(A34,Tabla3[],'Registro de Operaciones'!$U$6,FALSE),2))</f>
      </c>
      <c r="H34" s="96">
        <f>IF(A34=0,"",VLOOKUP(+VLOOKUP(A34,Tabla3[],'Registro de Operaciones'!$I$6,FALSE),Tipo_Recibo,2,FALSE))</f>
      </c>
      <c r="I34" s="95">
        <f>IF(A34=0,"",+VLOOKUP(A34,Tabla3[],'Registro de Operaciones'!$J$6,FALSE))</f>
      </c>
      <c r="J34" s="96">
        <f>+IF(A34&gt;0,"N","")</f>
      </c>
      <c r="K34" s="95">
        <f>IF(A34=0,"",+VLOOKUP(A34,Tabla3[],'Registro de Operaciones'!$L$6,FALSE))</f>
      </c>
      <c r="L34" s="96">
        <f>+IF(A34&gt;0,"E","")</f>
      </c>
      <c r="M34" s="98">
        <f>IF(A34=0,"",+VLOOKUP(A34,Tabla3[],'Registro de Operaciones'!$E$6,FALSE))</f>
      </c>
      <c r="N34" s="95">
        <f>+IF(A34&gt;0,"Nayrut Flores","")</f>
      </c>
      <c r="O34" s="1"/>
      <c r="P34" s="1"/>
      <c r="Q34" s="33">
        <f>+LEN(U34)</f>
      </c>
      <c r="R34" s="1"/>
      <c r="S34" s="1"/>
      <c r="T34" s="1"/>
      <c r="U34" s="1"/>
      <c r="V34" s="1"/>
      <c r="W34" s="101"/>
      <c r="X34" s="1"/>
      <c r="Y34" s="1"/>
      <c r="Z34" s="1"/>
      <c r="AA34" s="1"/>
      <c r="AB34" s="1"/>
      <c r="AC34" s="1"/>
      <c r="AD34" s="1"/>
      <c r="AE34" s="1"/>
    </row>
    <row x14ac:dyDescent="0.25" r="35" customHeight="1" ht="18.75">
      <c r="A35" s="33">
        <f>+BD!AE36</f>
      </c>
      <c r="B35" s="108">
        <f>IF(A35=0,"",VLOOKUP(+VLOOKUP(A35,Tabla3[],'Registro de Operaciones'!$F$6,FALSE),DOI_Tipo,2,FALSE))</f>
      </c>
      <c r="C35" s="109">
        <f>IF(A35=0,"",+VLOOKUP(A35,Tabla3[#All],'Registro de Operaciones'!$G$6,FALSE))</f>
      </c>
      <c r="D35" s="99">
        <f>IF(A35=0,"",VLOOKUP(+VLOOKUP(A35,Tabla3[],'Registro de Operaciones'!$N$6,FALSE),Tipo_Abono,2,FALSE))</f>
        <v>25568.791666666668</v>
      </c>
      <c r="E35" s="95">
        <f>IF(A35=0,"",+VLOOKUP(A35,Tabla3[],'Registro de Operaciones'!$O$6,FALSE))</f>
      </c>
      <c r="F35" s="95">
        <f>IF(A35=0,"",+VLOOKUP(A35,Tabla3[],'Registro de Operaciones'!$H$6,FALSE))</f>
      </c>
      <c r="G35" s="97">
        <f>IF(A35=0,"",ROUND(+VLOOKUP(A35,Tabla3[],'Registro de Operaciones'!$U$6,FALSE),2))</f>
      </c>
      <c r="H35" s="96">
        <f>IF(A35=0,"",VLOOKUP(+VLOOKUP(A35,Tabla3[],'Registro de Operaciones'!$I$6,FALSE),Tipo_Recibo,2,FALSE))</f>
      </c>
      <c r="I35" s="95">
        <f>IF(A35=0,"",+VLOOKUP(A35,Tabla3[],'Registro de Operaciones'!$J$6,FALSE))</f>
      </c>
      <c r="J35" s="96">
        <f>+IF(A35&gt;0,"N","")</f>
      </c>
      <c r="K35" s="95">
        <f>IF(A35=0,"",+VLOOKUP(A35,Tabla3[],'Registro de Operaciones'!$L$6,FALSE))</f>
      </c>
      <c r="L35" s="96">
        <f>+IF(A35&gt;0,"E","")</f>
      </c>
      <c r="M35" s="98">
        <f>IF(A35=0,"",+VLOOKUP(A35,Tabla3[],'Registro de Operaciones'!$E$6,FALSE))</f>
      </c>
      <c r="N35" s="95">
        <f>+IF(A35&gt;0,"Nayrut Flores","")</f>
      </c>
      <c r="O35" s="1"/>
      <c r="P35" s="1"/>
      <c r="Q35" s="33">
        <f>+LEN(U35)</f>
      </c>
      <c r="R35" s="1"/>
      <c r="S35" s="1"/>
      <c r="T35" s="1"/>
      <c r="U35" s="1"/>
      <c r="V35" s="1"/>
      <c r="W35" s="101"/>
      <c r="X35" s="1"/>
      <c r="Y35" s="1"/>
      <c r="Z35" s="1"/>
      <c r="AA35" s="1"/>
      <c r="AB35" s="1"/>
      <c r="AC35" s="1"/>
      <c r="AD35" s="1"/>
      <c r="AE35" s="1"/>
    </row>
    <row x14ac:dyDescent="0.25" r="36" customHeight="1" ht="18.75">
      <c r="A36" s="33">
        <f>+BD!AE37</f>
      </c>
      <c r="B36" s="108">
        <f>IF(A36=0,"",VLOOKUP(+VLOOKUP(A36,Tabla3[],'Registro de Operaciones'!$F$6,FALSE),DOI_Tipo,2,FALSE))</f>
      </c>
      <c r="C36" s="109">
        <f>IF(A36=0,"",+VLOOKUP(A36,Tabla3[#All],'Registro de Operaciones'!$G$6,FALSE))</f>
      </c>
      <c r="D36" s="99">
        <f>IF(A36=0,"",VLOOKUP(+VLOOKUP(A36,Tabla3[],'Registro de Operaciones'!$N$6,FALSE),Tipo_Abono,2,FALSE))</f>
        <v>25568.791666666668</v>
      </c>
      <c r="E36" s="95">
        <f>IF(A36=0,"",+VLOOKUP(A36,Tabla3[],'Registro de Operaciones'!$O$6,FALSE))</f>
      </c>
      <c r="F36" s="95">
        <f>IF(A36=0,"",+VLOOKUP(A36,Tabla3[],'Registro de Operaciones'!$H$6,FALSE))</f>
      </c>
      <c r="G36" s="97">
        <f>IF(A36=0,"",ROUND(+VLOOKUP(A36,Tabla3[],'Registro de Operaciones'!$U$6,FALSE),2))</f>
      </c>
      <c r="H36" s="96">
        <f>IF(A36=0,"",VLOOKUP(+VLOOKUP(A36,Tabla3[],'Registro de Operaciones'!$I$6,FALSE),Tipo_Recibo,2,FALSE))</f>
      </c>
      <c r="I36" s="95">
        <f>IF(A36=0,"",+VLOOKUP(A36,Tabla3[],'Registro de Operaciones'!$J$6,FALSE))</f>
      </c>
      <c r="J36" s="96">
        <f>+IF(A36&gt;0,"N","")</f>
      </c>
      <c r="K36" s="95">
        <f>IF(A36=0,"",+VLOOKUP(A36,Tabla3[],'Registro de Operaciones'!$L$6,FALSE))</f>
      </c>
      <c r="L36" s="96">
        <f>+IF(A36&gt;0,"E","")</f>
      </c>
      <c r="M36" s="98">
        <f>IF(A36=0,"",+VLOOKUP(A36,Tabla3[],'Registro de Operaciones'!$E$6,FALSE))</f>
      </c>
      <c r="N36" s="95">
        <f>+IF(A36&gt;0,"Nayrut Flores","")</f>
      </c>
      <c r="O36" s="1"/>
      <c r="P36" s="1"/>
      <c r="Q36" s="33">
        <f>+LEN(U36)</f>
      </c>
      <c r="R36" s="1"/>
      <c r="S36" s="1"/>
      <c r="T36" s="1"/>
      <c r="U36" s="1"/>
      <c r="V36" s="1"/>
      <c r="W36" s="101"/>
      <c r="X36" s="1"/>
      <c r="Y36" s="1"/>
      <c r="Z36" s="1"/>
      <c r="AA36" s="1"/>
      <c r="AB36" s="1"/>
      <c r="AC36" s="1"/>
      <c r="AD36" s="1"/>
      <c r="AE36" s="1"/>
    </row>
    <row x14ac:dyDescent="0.25" r="37" customHeight="1" ht="18.75">
      <c r="A37" s="33">
        <f>+BD!AE38</f>
      </c>
      <c r="B37" s="108">
        <f>IF(A37=0,"",VLOOKUP(+VLOOKUP(A37,Tabla3[],'Registro de Operaciones'!$F$6,FALSE),DOI_Tipo,2,FALSE))</f>
      </c>
      <c r="C37" s="109">
        <f>IF(A37=0,"",+VLOOKUP(A37,Tabla3[#All],'Registro de Operaciones'!$G$6,FALSE))</f>
      </c>
      <c r="D37" s="99">
        <f>IF(A37=0,"",VLOOKUP(+VLOOKUP(A37,Tabla3[],'Registro de Operaciones'!$N$6,FALSE),Tipo_Abono,2,FALSE))</f>
        <v>25568.791666666668</v>
      </c>
      <c r="E37" s="95">
        <f>IF(A37=0,"",+VLOOKUP(A37,Tabla3[],'Registro de Operaciones'!$O$6,FALSE))</f>
      </c>
      <c r="F37" s="95">
        <f>IF(A37=0,"",+VLOOKUP(A37,Tabla3[],'Registro de Operaciones'!$H$6,FALSE))</f>
      </c>
      <c r="G37" s="97">
        <f>IF(A37=0,"",ROUND(+VLOOKUP(A37,Tabla3[],'Registro de Operaciones'!$U$6,FALSE),2))</f>
      </c>
      <c r="H37" s="96">
        <f>IF(A37=0,"",VLOOKUP(+VLOOKUP(A37,Tabla3[],'Registro de Operaciones'!$I$6,FALSE),Tipo_Recibo,2,FALSE))</f>
      </c>
      <c r="I37" s="95">
        <f>IF(A37=0,"",+VLOOKUP(A37,Tabla3[],'Registro de Operaciones'!$J$6,FALSE))</f>
      </c>
      <c r="J37" s="96">
        <f>+IF(A37&gt;0,"N","")</f>
      </c>
      <c r="K37" s="95">
        <f>IF(A37=0,"",+VLOOKUP(A37,Tabla3[],'Registro de Operaciones'!$L$6,FALSE))</f>
      </c>
      <c r="L37" s="96">
        <f>+IF(A37&gt;0,"E","")</f>
      </c>
      <c r="M37" s="98">
        <f>IF(A37=0,"",+VLOOKUP(A37,Tabla3[],'Registro de Operaciones'!$E$6,FALSE))</f>
      </c>
      <c r="N37" s="95">
        <f>+IF(A37&gt;0,"Nayrut Flores","")</f>
      </c>
      <c r="O37" s="1"/>
      <c r="P37" s="1"/>
      <c r="Q37" s="33">
        <f>+LEN(U37)</f>
      </c>
      <c r="R37" s="1"/>
      <c r="S37" s="1"/>
      <c r="T37" s="1"/>
      <c r="U37" s="1"/>
      <c r="V37" s="1"/>
      <c r="W37" s="101"/>
      <c r="X37" s="1"/>
      <c r="Y37" s="1"/>
      <c r="Z37" s="1"/>
      <c r="AA37" s="1"/>
      <c r="AB37" s="1"/>
      <c r="AC37" s="1"/>
      <c r="AD37" s="1"/>
      <c r="AE37" s="1"/>
    </row>
    <row x14ac:dyDescent="0.25" r="38" customHeight="1" ht="18.75">
      <c r="A38" s="33">
        <f>+BD!AE39</f>
      </c>
      <c r="B38" s="108">
        <f>IF(A38=0,"",VLOOKUP(+VLOOKUP(A38,Tabla3[],'Registro de Operaciones'!$F$6,FALSE),DOI_Tipo,2,FALSE))</f>
      </c>
      <c r="C38" s="109">
        <f>IF(A38=0,"",+VLOOKUP(A38,Tabla3[#All],'Registro de Operaciones'!$G$6,FALSE))</f>
      </c>
      <c r="D38" s="99">
        <f>IF(A38=0,"",VLOOKUP(+VLOOKUP(A38,Tabla3[],'Registro de Operaciones'!$N$6,FALSE),Tipo_Abono,2,FALSE))</f>
        <v>25568.791666666668</v>
      </c>
      <c r="E38" s="95">
        <f>IF(A38=0,"",+VLOOKUP(A38,Tabla3[],'Registro de Operaciones'!$O$6,FALSE))</f>
      </c>
      <c r="F38" s="95">
        <f>IF(A38=0,"",+VLOOKUP(A38,Tabla3[],'Registro de Operaciones'!$H$6,FALSE))</f>
      </c>
      <c r="G38" s="97">
        <f>IF(A38=0,"",ROUND(+VLOOKUP(A38,Tabla3[],'Registro de Operaciones'!$U$6,FALSE),2))</f>
      </c>
      <c r="H38" s="96">
        <f>IF(A38=0,"",VLOOKUP(+VLOOKUP(A38,Tabla3[],'Registro de Operaciones'!$I$6,FALSE),Tipo_Recibo,2,FALSE))</f>
      </c>
      <c r="I38" s="95">
        <f>IF(A38=0,"",+VLOOKUP(A38,Tabla3[],'Registro de Operaciones'!$J$6,FALSE))</f>
      </c>
      <c r="J38" s="96">
        <f>+IF(A38&gt;0,"N","")</f>
      </c>
      <c r="K38" s="95">
        <f>IF(A38=0,"",+VLOOKUP(A38,Tabla3[],'Registro de Operaciones'!$L$6,FALSE))</f>
      </c>
      <c r="L38" s="96">
        <f>+IF(A38&gt;0,"E","")</f>
      </c>
      <c r="M38" s="98">
        <f>IF(A38=0,"",+VLOOKUP(A38,Tabla3[],'Registro de Operaciones'!$E$6,FALSE))</f>
      </c>
      <c r="N38" s="95">
        <f>+IF(A38&gt;0,"Nayrut Flores","")</f>
      </c>
      <c r="O38" s="1"/>
      <c r="P38" s="1"/>
      <c r="Q38" s="33">
        <f>+LEN(U38)</f>
      </c>
      <c r="R38" s="1"/>
      <c r="S38" s="1"/>
      <c r="T38" s="1"/>
      <c r="U38" s="1"/>
      <c r="V38" s="1"/>
      <c r="W38" s="101"/>
      <c r="X38" s="1"/>
      <c r="Y38" s="1"/>
      <c r="Z38" s="1"/>
      <c r="AA38" s="1"/>
      <c r="AB38" s="1"/>
      <c r="AC38" s="1"/>
      <c r="AD38" s="1"/>
      <c r="AE38" s="1"/>
    </row>
    <row x14ac:dyDescent="0.25" r="39" customHeight="1" ht="18.75">
      <c r="A39" s="33">
        <f>+BD!AE40</f>
      </c>
      <c r="B39" s="108">
        <f>IF(A39=0,"",VLOOKUP(+VLOOKUP(A39,Tabla3[],'Registro de Operaciones'!$F$6,FALSE),DOI_Tipo,2,FALSE))</f>
      </c>
      <c r="C39" s="109">
        <f>IF(A39=0,"",+VLOOKUP(A39,Tabla3[#All],'Registro de Operaciones'!$G$6,FALSE))</f>
      </c>
      <c r="D39" s="99">
        <f>IF(A39=0,"",VLOOKUP(+VLOOKUP(A39,Tabla3[],'Registro de Operaciones'!$N$6,FALSE),Tipo_Abono,2,FALSE))</f>
        <v>25568.791666666668</v>
      </c>
      <c r="E39" s="95">
        <f>IF(A39=0,"",+VLOOKUP(A39,Tabla3[],'Registro de Operaciones'!$O$6,FALSE))</f>
      </c>
      <c r="F39" s="95">
        <f>IF(A39=0,"",+VLOOKUP(A39,Tabla3[],'Registro de Operaciones'!$H$6,FALSE))</f>
      </c>
      <c r="G39" s="97">
        <f>IF(A39=0,"",ROUND(+VLOOKUP(A39,Tabla3[],'Registro de Operaciones'!$U$6,FALSE),2))</f>
      </c>
      <c r="H39" s="96">
        <f>IF(A39=0,"",VLOOKUP(+VLOOKUP(A39,Tabla3[],'Registro de Operaciones'!$I$6,FALSE),Tipo_Recibo,2,FALSE))</f>
      </c>
      <c r="I39" s="95">
        <f>IF(A39=0,"",+VLOOKUP(A39,Tabla3[],'Registro de Operaciones'!$J$6,FALSE))</f>
      </c>
      <c r="J39" s="96">
        <f>+IF(A39&gt;0,"N","")</f>
      </c>
      <c r="K39" s="95">
        <f>IF(A39=0,"",+VLOOKUP(A39,Tabla3[],'Registro de Operaciones'!$L$6,FALSE))</f>
      </c>
      <c r="L39" s="96">
        <f>+IF(A39&gt;0,"E","")</f>
      </c>
      <c r="M39" s="98">
        <f>IF(A39=0,"",+VLOOKUP(A39,Tabla3[],'Registro de Operaciones'!$E$6,FALSE))</f>
      </c>
      <c r="N39" s="95">
        <f>+IF(A39&gt;0,"Nayrut Flores","")</f>
      </c>
      <c r="O39" s="1"/>
      <c r="P39" s="1"/>
      <c r="Q39" s="33">
        <f>+LEN(U39)</f>
      </c>
      <c r="R39" s="110"/>
      <c r="S39" s="110"/>
      <c r="T39" s="1"/>
      <c r="U39" s="1"/>
      <c r="V39" s="1"/>
      <c r="W39" s="101"/>
      <c r="X39" s="1"/>
      <c r="Y39" s="1"/>
      <c r="Z39" s="1"/>
      <c r="AA39" s="1"/>
      <c r="AB39" s="1"/>
      <c r="AC39" s="1"/>
      <c r="AD39" s="1"/>
      <c r="AE39" s="1"/>
    </row>
    <row x14ac:dyDescent="0.25" r="40" customHeight="1" ht="18.75">
      <c r="A40" s="11"/>
      <c r="B40" s="11"/>
      <c r="C40" s="11"/>
      <c r="D40" s="1"/>
      <c r="E40" s="1"/>
      <c r="F40" s="1"/>
      <c r="G40" s="101"/>
      <c r="H40" s="1"/>
      <c r="I40" s="1"/>
      <c r="J40" s="1"/>
      <c r="K40" s="1"/>
      <c r="L40" s="1"/>
      <c r="M40" s="1"/>
      <c r="N40" s="1"/>
      <c r="O40" s="1"/>
      <c r="P40" s="1"/>
      <c r="Q40" s="33">
        <f>+LEN(U40)</f>
      </c>
      <c r="R40" s="110"/>
      <c r="S40" s="110"/>
      <c r="T40" s="1"/>
      <c r="U40" s="1"/>
      <c r="V40" s="1"/>
      <c r="W40" s="101"/>
      <c r="X40" s="1"/>
      <c r="Y40" s="1"/>
      <c r="Z40" s="1"/>
      <c r="AA40" s="1"/>
      <c r="AB40" s="1"/>
      <c r="AC40" s="1"/>
      <c r="AD40" s="1"/>
      <c r="AE40" s="1"/>
    </row>
    <row x14ac:dyDescent="0.25" r="41" customHeight="1" ht="18.75">
      <c r="A41" s="11"/>
      <c r="B41" s="11"/>
      <c r="C41" s="11"/>
      <c r="D41" s="1"/>
      <c r="E41" s="1"/>
      <c r="F41" s="1"/>
      <c r="G41" s="101"/>
      <c r="H41" s="1"/>
      <c r="I41" s="1"/>
      <c r="J41" s="1"/>
      <c r="K41" s="1"/>
      <c r="L41" s="1"/>
      <c r="M41" s="1"/>
      <c r="N41" s="1"/>
      <c r="O41" s="1"/>
      <c r="P41" s="1"/>
      <c r="Q41" s="33">
        <f>+LEN(U41)</f>
      </c>
      <c r="R41" s="1"/>
      <c r="S41" s="1"/>
      <c r="T41" s="1"/>
      <c r="U41" s="1"/>
      <c r="V41" s="1"/>
      <c r="W41" s="101"/>
      <c r="X41" s="1"/>
      <c r="Y41" s="1"/>
      <c r="Z41" s="1"/>
      <c r="AA41" s="1"/>
      <c r="AB41" s="1"/>
      <c r="AC41" s="1"/>
      <c r="AD41" s="1"/>
      <c r="AE41" s="1"/>
    </row>
    <row x14ac:dyDescent="0.25" r="42" customHeight="1" ht="18.75">
      <c r="A42" s="11"/>
      <c r="B42" s="11"/>
      <c r="C42" s="11"/>
      <c r="D42" s="1"/>
      <c r="E42" s="1"/>
      <c r="F42" s="1"/>
      <c r="G42" s="101"/>
      <c r="H42" s="1"/>
      <c r="I42" s="1"/>
      <c r="J42" s="1"/>
      <c r="K42" s="1"/>
      <c r="L42" s="1"/>
      <c r="M42" s="1"/>
      <c r="N42" s="1"/>
      <c r="O42" s="1"/>
      <c r="P42" s="1"/>
      <c r="Q42" s="33">
        <f>+LEN(U42)</f>
      </c>
      <c r="R42" s="1"/>
      <c r="S42" s="1"/>
      <c r="T42" s="1"/>
      <c r="U42" s="1"/>
      <c r="V42" s="1"/>
      <c r="W42" s="101"/>
      <c r="X42" s="1"/>
      <c r="Y42" s="1"/>
      <c r="Z42" s="1"/>
      <c r="AA42" s="1"/>
      <c r="AB42" s="1"/>
      <c r="AC42" s="1"/>
      <c r="AD42" s="1"/>
      <c r="AE42" s="1"/>
    </row>
    <row x14ac:dyDescent="0.25" r="43" customHeight="1" ht="18.75">
      <c r="A43" s="11"/>
      <c r="B43" s="11"/>
      <c r="C43" s="11"/>
      <c r="D43" s="1"/>
      <c r="E43" s="1"/>
      <c r="F43" s="1"/>
      <c r="G43" s="101"/>
      <c r="H43" s="1"/>
      <c r="I43" s="1"/>
      <c r="J43" s="1"/>
      <c r="K43" s="1"/>
      <c r="L43" s="1"/>
      <c r="M43" s="1"/>
      <c r="N43" s="1"/>
      <c r="O43" s="1"/>
      <c r="P43" s="1"/>
      <c r="Q43" s="33">
        <f>+LEN(U43)</f>
      </c>
      <c r="R43" s="1"/>
      <c r="S43" s="1"/>
      <c r="T43" s="1"/>
      <c r="U43" s="1"/>
      <c r="V43" s="1"/>
      <c r="W43" s="101"/>
      <c r="X43" s="1"/>
      <c r="Y43" s="1"/>
      <c r="Z43" s="1"/>
      <c r="AA43" s="1"/>
      <c r="AB43" s="1"/>
      <c r="AC43" s="1"/>
      <c r="AD43" s="1"/>
      <c r="AE43" s="1"/>
    </row>
    <row x14ac:dyDescent="0.25" r="44" customHeight="1" ht="18.75">
      <c r="A44" s="11"/>
      <c r="B44" s="11"/>
      <c r="C44" s="11"/>
      <c r="D44" s="1"/>
      <c r="E44" s="1"/>
      <c r="F44" s="1"/>
      <c r="G44" s="101"/>
      <c r="H44" s="1"/>
      <c r="I44" s="1"/>
      <c r="J44" s="1"/>
      <c r="K44" s="1"/>
      <c r="L44" s="1"/>
      <c r="M44" s="1"/>
      <c r="N44" s="1"/>
      <c r="O44" s="1"/>
      <c r="P44" s="1"/>
      <c r="Q44" s="33">
        <f>+LEN(U44)</f>
      </c>
      <c r="R44" s="1"/>
      <c r="S44" s="1"/>
      <c r="T44" s="1"/>
      <c r="U44" s="1"/>
      <c r="V44" s="1"/>
      <c r="W44" s="101"/>
      <c r="X44" s="1"/>
      <c r="Y44" s="1"/>
      <c r="Z44" s="1"/>
      <c r="AA44" s="1"/>
      <c r="AB44" s="1"/>
      <c r="AC44" s="1"/>
      <c r="AD44" s="1"/>
      <c r="AE44" s="1"/>
    </row>
    <row x14ac:dyDescent="0.25" r="45" customHeight="1" ht="18.75">
      <c r="A45" s="11"/>
      <c r="B45" s="11"/>
      <c r="C45" s="11"/>
      <c r="D45" s="1"/>
      <c r="E45" s="1"/>
      <c r="F45" s="1"/>
      <c r="G45" s="101"/>
      <c r="H45" s="1"/>
      <c r="I45" s="1"/>
      <c r="J45" s="1"/>
      <c r="K45" s="1"/>
      <c r="L45" s="1"/>
      <c r="M45" s="1"/>
      <c r="N45" s="1"/>
      <c r="O45" s="1"/>
      <c r="P45" s="1"/>
      <c r="Q45" s="33">
        <f>+LEN(U45)</f>
      </c>
      <c r="R45" s="1"/>
      <c r="S45" s="1"/>
      <c r="T45" s="1"/>
      <c r="U45" s="1"/>
      <c r="V45" s="1"/>
      <c r="W45" s="101"/>
      <c r="X45" s="1"/>
      <c r="Y45" s="1"/>
      <c r="Z45" s="1"/>
      <c r="AA45" s="1"/>
      <c r="AB45" s="1"/>
      <c r="AC45" s="1"/>
      <c r="AD45" s="1"/>
      <c r="AE45" s="1"/>
    </row>
    <row x14ac:dyDescent="0.25" r="46" customHeight="1" ht="18.75">
      <c r="A46" s="11"/>
      <c r="B46" s="11"/>
      <c r="C46" s="11"/>
      <c r="D46" s="1"/>
      <c r="E46" s="1"/>
      <c r="F46" s="1"/>
      <c r="G46" s="101"/>
      <c r="H46" s="1"/>
      <c r="I46" s="1"/>
      <c r="J46" s="1"/>
      <c r="K46" s="1"/>
      <c r="L46" s="1"/>
      <c r="M46" s="1"/>
      <c r="N46" s="1"/>
      <c r="O46" s="1"/>
      <c r="P46" s="1"/>
      <c r="Q46" s="33">
        <f>+LEN(U46)</f>
      </c>
      <c r="R46" s="1"/>
      <c r="S46" s="1"/>
      <c r="T46" s="1"/>
      <c r="U46" s="1"/>
      <c r="V46" s="1"/>
      <c r="W46" s="101"/>
      <c r="X46" s="1"/>
      <c r="Y46" s="1"/>
      <c r="Z46" s="1"/>
      <c r="AA46" s="1"/>
      <c r="AB46" s="1"/>
      <c r="AC46" s="1"/>
      <c r="AD46" s="1"/>
      <c r="AE46" s="1"/>
    </row>
    <row x14ac:dyDescent="0.25" r="47" customHeight="1" ht="18.75">
      <c r="A47" s="11"/>
      <c r="B47" s="11"/>
      <c r="C47" s="11"/>
      <c r="D47" s="1"/>
      <c r="E47" s="1"/>
      <c r="F47" s="1"/>
      <c r="G47" s="101"/>
      <c r="H47" s="1"/>
      <c r="I47" s="1"/>
      <c r="J47" s="1"/>
      <c r="K47" s="1"/>
      <c r="L47" s="1"/>
      <c r="M47" s="1"/>
      <c r="N47" s="1"/>
      <c r="O47" s="1"/>
      <c r="P47" s="1"/>
      <c r="Q47" s="33">
        <f>+LEN(U47)</f>
      </c>
      <c r="R47" s="1"/>
      <c r="S47" s="1"/>
      <c r="T47" s="1"/>
      <c r="U47" s="1"/>
      <c r="V47" s="1"/>
      <c r="W47" s="101"/>
      <c r="X47" s="1"/>
      <c r="Y47" s="1"/>
      <c r="Z47" s="1"/>
      <c r="AA47" s="1"/>
      <c r="AB47" s="1"/>
      <c r="AC47" s="1"/>
      <c r="AD47" s="1"/>
      <c r="AE47" s="1"/>
    </row>
    <row x14ac:dyDescent="0.25" r="48" customHeight="1" ht="18.75">
      <c r="A48" s="11"/>
      <c r="B48" s="11"/>
      <c r="C48" s="11"/>
      <c r="D48" s="1"/>
      <c r="E48" s="1"/>
      <c r="F48" s="1"/>
      <c r="G48" s="101"/>
      <c r="H48" s="1"/>
      <c r="I48" s="1"/>
      <c r="J48" s="1"/>
      <c r="K48" s="1"/>
      <c r="L48" s="1"/>
      <c r="M48" s="1"/>
      <c r="N48" s="1"/>
      <c r="O48" s="1"/>
      <c r="P48" s="1"/>
      <c r="Q48" s="33">
        <f>+LEN(U48)</f>
      </c>
      <c r="R48" s="1"/>
      <c r="S48" s="1"/>
      <c r="T48" s="1"/>
      <c r="U48" s="1"/>
      <c r="V48" s="1"/>
      <c r="W48" s="101"/>
      <c r="X48" s="1"/>
      <c r="Y48" s="1"/>
      <c r="Z48" s="1"/>
      <c r="AA48" s="1"/>
      <c r="AB48" s="1"/>
      <c r="AC48" s="1"/>
      <c r="AD48" s="1"/>
      <c r="AE48" s="1"/>
    </row>
    <row x14ac:dyDescent="0.25" r="49" customHeight="1" ht="18.75">
      <c r="A49" s="11"/>
      <c r="B49" s="11"/>
      <c r="C49" s="11"/>
      <c r="D49" s="1"/>
      <c r="E49" s="1"/>
      <c r="F49" s="1"/>
      <c r="G49" s="101"/>
      <c r="H49" s="1"/>
      <c r="I49" s="1"/>
      <c r="J49" s="1"/>
      <c r="K49" s="1"/>
      <c r="L49" s="1"/>
      <c r="M49" s="1"/>
      <c r="N49" s="1"/>
      <c r="O49" s="1"/>
      <c r="P49" s="1"/>
      <c r="Q49" s="33">
        <f>+LEN(U49)</f>
      </c>
      <c r="R49" s="1"/>
      <c r="S49" s="1"/>
      <c r="T49" s="1"/>
      <c r="U49" s="1"/>
      <c r="V49" s="1"/>
      <c r="W49" s="101"/>
      <c r="X49" s="1"/>
      <c r="Y49" s="1"/>
      <c r="Z49" s="1"/>
      <c r="AA49" s="1"/>
      <c r="AB49" s="1"/>
      <c r="AC49" s="1"/>
      <c r="AD49" s="1"/>
      <c r="AE49" s="1"/>
    </row>
    <row x14ac:dyDescent="0.25" r="50" customHeight="1" ht="18.75">
      <c r="A50" s="11"/>
      <c r="B50" s="11"/>
      <c r="C50" s="11"/>
      <c r="D50" s="1"/>
      <c r="E50" s="1"/>
      <c r="F50" s="1"/>
      <c r="G50" s="101"/>
      <c r="H50" s="1"/>
      <c r="I50" s="1"/>
      <c r="J50" s="1"/>
      <c r="K50" s="1"/>
      <c r="L50" s="1"/>
      <c r="M50" s="1"/>
      <c r="N50" s="1"/>
      <c r="O50" s="1"/>
      <c r="P50" s="1"/>
      <c r="Q50" s="33">
        <f>+LEN(U50)</f>
      </c>
      <c r="R50" s="1"/>
      <c r="S50" s="1"/>
      <c r="T50" s="1"/>
      <c r="U50" s="1"/>
      <c r="V50" s="1"/>
      <c r="W50" s="101"/>
      <c r="X50" s="1"/>
      <c r="Y50" s="1"/>
      <c r="Z50" s="1"/>
      <c r="AA50" s="1"/>
      <c r="AB50" s="1"/>
      <c r="AC50" s="1"/>
      <c r="AD50" s="1"/>
      <c r="AE50" s="1"/>
    </row>
    <row x14ac:dyDescent="0.25" r="51" customHeight="1" ht="18.75">
      <c r="A51" s="11"/>
      <c r="B51" s="11"/>
      <c r="C51" s="11"/>
      <c r="D51" s="1"/>
      <c r="E51" s="1"/>
      <c r="F51" s="1"/>
      <c r="G51" s="101"/>
      <c r="H51" s="1"/>
      <c r="I51" s="1"/>
      <c r="J51" s="1"/>
      <c r="K51" s="1"/>
      <c r="L51" s="1"/>
      <c r="M51" s="1"/>
      <c r="N51" s="1"/>
      <c r="O51" s="1"/>
      <c r="P51" s="1"/>
      <c r="Q51" s="33">
        <f>+LEN(U51)</f>
      </c>
      <c r="R51" s="1"/>
      <c r="S51" s="1"/>
      <c r="T51" s="1"/>
      <c r="U51" s="1"/>
      <c r="V51" s="1"/>
      <c r="W51" s="101"/>
      <c r="X51" s="1"/>
      <c r="Y51" s="1"/>
      <c r="Z51" s="1"/>
      <c r="AA51" s="1"/>
      <c r="AB51" s="1"/>
      <c r="AC51" s="1"/>
      <c r="AD51" s="1"/>
      <c r="AE51" s="1"/>
    </row>
    <row x14ac:dyDescent="0.25" r="52" customHeight="1" ht="18.75">
      <c r="A52" s="11"/>
      <c r="B52" s="11"/>
      <c r="C52" s="11"/>
      <c r="D52" s="1"/>
      <c r="E52" s="1"/>
      <c r="F52" s="1"/>
      <c r="G52" s="101"/>
      <c r="H52" s="1"/>
      <c r="I52" s="1"/>
      <c r="J52" s="1"/>
      <c r="K52" s="1"/>
      <c r="L52" s="1"/>
      <c r="M52" s="1"/>
      <c r="N52" s="1"/>
      <c r="O52" s="1"/>
      <c r="P52" s="1"/>
      <c r="Q52" s="33">
        <f>+LEN(U52)</f>
      </c>
      <c r="R52" s="1"/>
      <c r="S52" s="1"/>
      <c r="T52" s="1"/>
      <c r="U52" s="1"/>
      <c r="V52" s="1"/>
      <c r="W52" s="101"/>
      <c r="X52" s="1"/>
      <c r="Y52" s="1"/>
      <c r="Z52" s="1"/>
      <c r="AA52" s="1"/>
      <c r="AB52" s="1"/>
      <c r="AC52" s="1"/>
      <c r="AD52" s="1"/>
      <c r="AE52" s="1"/>
    </row>
    <row x14ac:dyDescent="0.25" r="53" customHeight="1" ht="18.75">
      <c r="A53" s="11"/>
      <c r="B53" s="11"/>
      <c r="C53" s="11"/>
      <c r="D53" s="1"/>
      <c r="E53" s="1"/>
      <c r="F53" s="1"/>
      <c r="G53" s="101"/>
      <c r="H53" s="1"/>
      <c r="I53" s="1"/>
      <c r="J53" s="1"/>
      <c r="K53" s="1"/>
      <c r="L53" s="1"/>
      <c r="M53" s="1"/>
      <c r="N53" s="1"/>
      <c r="O53" s="1"/>
      <c r="P53" s="1"/>
      <c r="Q53" s="33">
        <f>+LEN(U53)</f>
      </c>
      <c r="R53" s="1"/>
      <c r="S53" s="1"/>
      <c r="T53" s="1"/>
      <c r="U53" s="1"/>
      <c r="V53" s="1"/>
      <c r="W53" s="101"/>
      <c r="X53" s="1"/>
      <c r="Y53" s="1"/>
      <c r="Z53" s="1"/>
      <c r="AA53" s="1"/>
      <c r="AB53" s="1"/>
      <c r="AC53" s="1"/>
      <c r="AD53" s="1"/>
      <c r="AE5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N43"/>
  <sheetViews>
    <sheetView workbookViewId="0"/>
  </sheetViews>
  <sheetFormatPr defaultRowHeight="15" x14ac:dyDescent="0.25"/>
  <cols>
    <col min="1" max="1" style="83" width="18.719285714285714" customWidth="1" bestFit="1"/>
    <col min="2" max="2" style="86" width="7.719285714285714" customWidth="1" bestFit="1"/>
    <col min="3" max="3" style="5" width="12.005" customWidth="1" bestFit="1"/>
    <col min="4" max="4" style="86" width="10.005" customWidth="1" bestFit="1"/>
    <col min="5" max="5" style="5" width="21.290714285714284" customWidth="1" bestFit="1"/>
    <col min="6" max="6" style="5" width="30.862142857142857" customWidth="1" bestFit="1"/>
    <col min="7" max="7" style="104" width="14.719285714285713" customWidth="1" bestFit="1"/>
    <col min="8" max="8" style="86" width="10.43357142857143" customWidth="1" bestFit="1"/>
    <col min="9" max="9" style="5" width="12.576428571428572" customWidth="1" bestFit="1"/>
    <col min="10" max="10" style="86" width="14.290714285714287" customWidth="1" bestFit="1"/>
    <col min="11" max="11" style="5" width="41.43357142857143" customWidth="1" bestFit="1"/>
    <col min="12" max="12" style="86" width="13.43357142857143" customWidth="1" bestFit="1"/>
    <col min="13" max="13" style="105" width="33.14785714285715" customWidth="1" bestFit="1"/>
    <col min="14" max="14" style="5" width="15.576428571428572" customWidth="1" bestFit="1"/>
  </cols>
  <sheetData>
    <row x14ac:dyDescent="0.25" r="1" customHeight="1" ht="18.75">
      <c r="A1" s="88" t="s">
        <v>127</v>
      </c>
      <c r="B1" s="10"/>
      <c r="C1" s="1"/>
      <c r="D1" s="10"/>
      <c r="E1" s="1"/>
      <c r="F1" s="1"/>
      <c r="G1" s="89"/>
      <c r="H1" s="10"/>
      <c r="I1" s="1"/>
      <c r="J1" s="10"/>
      <c r="K1" s="1"/>
      <c r="L1" s="10"/>
      <c r="M1" s="90"/>
      <c r="N1" s="1"/>
    </row>
    <row x14ac:dyDescent="0.25" r="2" customHeight="1" ht="18.75">
      <c r="A2" s="33"/>
      <c r="B2" s="10"/>
      <c r="C2" s="1"/>
      <c r="D2" s="10"/>
      <c r="E2" s="1"/>
      <c r="F2" s="1"/>
      <c r="G2" s="89"/>
      <c r="H2" s="10"/>
      <c r="I2" s="1"/>
      <c r="J2" s="10"/>
      <c r="K2" s="1"/>
      <c r="L2" s="10"/>
      <c r="M2" s="90"/>
      <c r="N2" s="1"/>
    </row>
    <row x14ac:dyDescent="0.25" r="3" customHeight="1" ht="18.75">
      <c r="A3" s="91" t="s">
        <v>1031</v>
      </c>
      <c r="B3" s="92" t="s">
        <v>1032</v>
      </c>
      <c r="C3" s="92" t="s">
        <v>1033</v>
      </c>
      <c r="D3" s="92" t="s">
        <v>1034</v>
      </c>
      <c r="E3" s="92" t="s">
        <v>1035</v>
      </c>
      <c r="F3" s="92" t="s">
        <v>1036</v>
      </c>
      <c r="G3" s="93" t="s">
        <v>1037</v>
      </c>
      <c r="H3" s="92" t="s">
        <v>1038</v>
      </c>
      <c r="I3" s="92" t="s">
        <v>1039</v>
      </c>
      <c r="J3" s="92" t="s">
        <v>1040</v>
      </c>
      <c r="K3" s="92" t="s">
        <v>1041</v>
      </c>
      <c r="L3" s="92" t="s">
        <v>1042</v>
      </c>
      <c r="M3" s="92" t="s">
        <v>1043</v>
      </c>
      <c r="N3" s="92" t="s">
        <v>1044</v>
      </c>
    </row>
    <row x14ac:dyDescent="0.25" r="4" customHeight="1" ht="18.75">
      <c r="A4" s="33">
        <f>+BD!AH5</f>
      </c>
      <c r="B4" s="94">
        <f>IF(A4=0,"",VLOOKUP(+VLOOKUP(A4,Tabla3[],'Registro de Operaciones'!$F$6,FALSE),DOI_Tipo,2,FALSE))</f>
      </c>
      <c r="C4" s="95">
        <f>IF(A4=0,"",+VLOOKUP(A4,Tabla3[#All],'Registro de Operaciones'!$G$6,FALSE))</f>
      </c>
      <c r="D4" s="96">
        <f>IF(A4=0,"",VLOOKUP(+VLOOKUP(A4,Tabla3[],'Registro de Operaciones'!$N$6,FALSE),Tipo_Abono,2,FALSE))</f>
      </c>
      <c r="E4" s="95">
        <f>IF(A4=0,"",+VLOOKUP(A4,Tabla3[],'Registro de Operaciones'!$O$6,FALSE))</f>
      </c>
      <c r="F4" s="95">
        <f>IF(A4=0,"",+VLOOKUP(A4,Tabla3[],'Registro de Operaciones'!$H$6,FALSE))</f>
      </c>
      <c r="G4" s="97">
        <f>IF(A4=0,"",ROUND(+VLOOKUP(A4,Tabla3[],'Registro de Operaciones'!$X$6,FALSE),2))</f>
      </c>
      <c r="H4" s="96">
        <f>IF(A4=0,"",VLOOKUP(+VLOOKUP(A4,Tabla3[],'Registro de Operaciones'!$I$6,FALSE),Tipo_Recibo,2,FALSE))</f>
      </c>
      <c r="I4" s="95">
        <f>IF(A4=0,"",+VLOOKUP(A4,Tabla3[],'Registro de Operaciones'!$J$6,FALSE))</f>
      </c>
      <c r="J4" s="96">
        <f>+IF(A4&gt;0,"N","")</f>
      </c>
      <c r="K4" s="95">
        <f>IF(A4=0,"",+VLOOKUP(A4,Tabla3[],'Registro de Operaciones'!$L$6,FALSE))</f>
      </c>
      <c r="L4" s="96">
        <f>+IF(A4&gt;0,"E","")</f>
      </c>
      <c r="M4" s="98">
        <f>IF(A4=0,"",+VLOOKUP(A4,Tabla3[],'Registro de Operaciones'!$E$6,FALSE))</f>
      </c>
      <c r="N4" s="95">
        <f>+IF(A4&gt;0,"Nayrut Flores","")</f>
      </c>
    </row>
    <row x14ac:dyDescent="0.25" r="5" customHeight="1" ht="18.75">
      <c r="A5" s="33">
        <f>+BD!AH6</f>
      </c>
      <c r="B5" s="94">
        <f>IF(A5=0,"",VLOOKUP(+VLOOKUP(A5,Tabla3[],'Registro de Operaciones'!$F$6,FALSE),DOI_Tipo,2,FALSE))</f>
      </c>
      <c r="C5" s="95">
        <f>IF(A5=0,"",+VLOOKUP(A5,Tabla3[#All],'Registro de Operaciones'!$G$6,FALSE))</f>
      </c>
      <c r="D5" s="96">
        <f>IF(A5=0,"",VLOOKUP(+VLOOKUP(A5,Tabla3[],'Registro de Operaciones'!$N$6,FALSE),Tipo_Abono,2,FALSE))</f>
      </c>
      <c r="E5" s="95">
        <f>IF(A5=0,"",+VLOOKUP(A5,Tabla3[],'Registro de Operaciones'!$O$6,FALSE))</f>
      </c>
      <c r="F5" s="95">
        <f>IF(A5=0,"",+VLOOKUP(A5,Tabla3[],'Registro de Operaciones'!$H$6,FALSE))</f>
      </c>
      <c r="G5" s="97">
        <f>IF(A5=0,"",ROUND(+VLOOKUP(A5,Tabla3[],'Registro de Operaciones'!$X$6,FALSE),2))</f>
      </c>
      <c r="H5" s="96">
        <f>IF(A5=0,"",VLOOKUP(+VLOOKUP(A5,Tabla3[],'Registro de Operaciones'!$I$6,FALSE),Tipo_Recibo,2,FALSE))</f>
      </c>
      <c r="I5" s="95">
        <f>IF(A5=0,"",+VLOOKUP(A5,Tabla3[],'Registro de Operaciones'!$J$6,FALSE))</f>
      </c>
      <c r="J5" s="96">
        <f>+IF(A5&gt;0,"N","")</f>
      </c>
      <c r="K5" s="95">
        <f>IF(A5=0,"",+VLOOKUP(A5,Tabla3[],'Registro de Operaciones'!$L$6,FALSE))</f>
      </c>
      <c r="L5" s="96">
        <f>+IF(A5&gt;0,"E","")</f>
      </c>
      <c r="M5" s="98">
        <f>IF(A5=0,"",+VLOOKUP(A5,Tabla3[],'Registro de Operaciones'!$E$6,FALSE))</f>
      </c>
      <c r="N5" s="95">
        <f>+IF(A5&gt;0,"Nayrut Flores","")</f>
      </c>
    </row>
    <row x14ac:dyDescent="0.25" r="6" customHeight="1" ht="18.75">
      <c r="A6" s="33">
        <f>+BD!AH7</f>
      </c>
      <c r="B6" s="94">
        <f>IF(A6=0,"",VLOOKUP(+VLOOKUP(A6,Tabla3[],'Registro de Operaciones'!$F$6,FALSE),DOI_Tipo,2,FALSE))</f>
      </c>
      <c r="C6" s="95">
        <f>IF(A6=0,"",+VLOOKUP(A6,Tabla3[#All],'Registro de Operaciones'!$G$6,FALSE))</f>
      </c>
      <c r="D6" s="99">
        <f>IF(A6=0,"",VLOOKUP(+VLOOKUP(A6,Tabla3[],'Registro de Operaciones'!$N$6,FALSE),Tipo_Abono,2,FALSE))</f>
        <v>25568.791666666668</v>
      </c>
      <c r="E6" s="95">
        <f>IF(A6=0,"",+VLOOKUP(A6,Tabla3[],'Registro de Operaciones'!$O$6,FALSE))</f>
      </c>
      <c r="F6" s="95">
        <f>IF(A6=0,"",+VLOOKUP(A6,Tabla3[],'Registro de Operaciones'!$H$6,FALSE))</f>
      </c>
      <c r="G6" s="97">
        <f>IF(A6=0,"",ROUND(+VLOOKUP(A6,Tabla3[],'Registro de Operaciones'!$X$6,FALSE),2))</f>
      </c>
      <c r="H6" s="96">
        <f>IF(A6=0,"",VLOOKUP(+VLOOKUP(A6,Tabla3[],'Registro de Operaciones'!$I$6,FALSE),Tipo_Recibo,2,FALSE))</f>
      </c>
      <c r="I6" s="95">
        <f>IF(A6=0,"",+VLOOKUP(A6,Tabla3[],'Registro de Operaciones'!$J$6,FALSE))</f>
      </c>
      <c r="J6" s="96">
        <f>+IF(A6&gt;0,"N","")</f>
      </c>
      <c r="K6" s="95">
        <f>IF(A6=0,"",+VLOOKUP(A6,Tabla3[],'Registro de Operaciones'!$L$6,FALSE))</f>
      </c>
      <c r="L6" s="96">
        <f>+IF(A6&gt;0,"E","")</f>
      </c>
      <c r="M6" s="100">
        <f>IF(A6=0,"",+VLOOKUP(A6,Tabla3[],'Registro de Operaciones'!$E$6,FALSE))</f>
      </c>
      <c r="N6" s="95">
        <f>+IF(A6&gt;0,"Nayrut Flores","")</f>
      </c>
    </row>
    <row x14ac:dyDescent="0.25" r="7" customHeight="1" ht="18.75">
      <c r="A7" s="33">
        <f>+BD!AH8</f>
      </c>
      <c r="B7" s="94">
        <f>IF(A7=0,"",VLOOKUP(+VLOOKUP(A7,Tabla3[],'Registro de Operaciones'!$F$6,FALSE),DOI_Tipo,2,FALSE))</f>
      </c>
      <c r="C7" s="95">
        <f>IF(A7=0,"",+VLOOKUP(A7,Tabla3[#All],'Registro de Operaciones'!$G$6,FALSE))</f>
      </c>
      <c r="D7" s="99">
        <f>IF(A7=0,"",VLOOKUP(+VLOOKUP(A7,Tabla3[],'Registro de Operaciones'!$N$6,FALSE),Tipo_Abono,2,FALSE))</f>
        <v>25568.791666666668</v>
      </c>
      <c r="E7" s="95">
        <f>IF(A7=0,"",+VLOOKUP(A7,Tabla3[],'Registro de Operaciones'!$O$6,FALSE))</f>
      </c>
      <c r="F7" s="95">
        <f>IF(A7=0,"",+VLOOKUP(A7,Tabla3[],'Registro de Operaciones'!$H$6,FALSE))</f>
      </c>
      <c r="G7" s="97">
        <f>IF(A7=0,"",ROUND(+VLOOKUP(A7,Tabla3[],'Registro de Operaciones'!$X$6,FALSE),2))</f>
      </c>
      <c r="H7" s="96">
        <f>IF(A7=0,"",VLOOKUP(+VLOOKUP(A7,Tabla3[],'Registro de Operaciones'!$I$6,FALSE),Tipo_Recibo,2,FALSE))</f>
      </c>
      <c r="I7" s="95">
        <f>IF(A7=0,"",+VLOOKUP(A7,Tabla3[],'Registro de Operaciones'!$J$6,FALSE))</f>
      </c>
      <c r="J7" s="96">
        <f>+IF(A7&gt;0,"N","")</f>
      </c>
      <c r="K7" s="95">
        <f>IF(A7=0,"",+VLOOKUP(A7,Tabla3[],'Registro de Operaciones'!$L$6,FALSE))</f>
      </c>
      <c r="L7" s="96">
        <f>+IF(A7&gt;0,"E","")</f>
      </c>
      <c r="M7" s="100">
        <f>IF(A7=0,"",+VLOOKUP(A7,Tabla3[],'Registro de Operaciones'!$E$6,FALSE))</f>
      </c>
      <c r="N7" s="95">
        <f>+IF(A7&gt;0,"Nayrut Flores","")</f>
      </c>
    </row>
    <row x14ac:dyDescent="0.25" r="8" customHeight="1" ht="18.75">
      <c r="A8" s="33">
        <f>+BD!AH9</f>
      </c>
      <c r="B8" s="94">
        <f>IF(A8=0,"",VLOOKUP(+VLOOKUP(A8,Tabla3[],'Registro de Operaciones'!$F$6,FALSE),DOI_Tipo,2,FALSE))</f>
      </c>
      <c r="C8" s="95">
        <f>IF(A8=0,"",+VLOOKUP(A8,Tabla3[#All],'Registro de Operaciones'!$G$6,FALSE))</f>
      </c>
      <c r="D8" s="99">
        <f>IF(A8=0,"",VLOOKUP(+VLOOKUP(A8,Tabla3[],'Registro de Operaciones'!$N$6,FALSE),Tipo_Abono,2,FALSE))</f>
        <v>25568.791666666668</v>
      </c>
      <c r="E8" s="95">
        <f>IF(A8=0,"",+VLOOKUP(A8,Tabla3[],'Registro de Operaciones'!$O$6,FALSE))</f>
      </c>
      <c r="F8" s="95">
        <f>IF(A8=0,"",+VLOOKUP(A8,Tabla3[],'Registro de Operaciones'!$H$6,FALSE))</f>
      </c>
      <c r="G8" s="97">
        <f>IF(A8=0,"",ROUND(+VLOOKUP(A8,Tabla3[],'Registro de Operaciones'!$X$6,FALSE),2))</f>
      </c>
      <c r="H8" s="96">
        <f>IF(A8=0,"",VLOOKUP(+VLOOKUP(A8,Tabla3[],'Registro de Operaciones'!$I$6,FALSE),Tipo_Recibo,2,FALSE))</f>
      </c>
      <c r="I8" s="95">
        <f>IF(A8=0,"",+VLOOKUP(A8,Tabla3[],'Registro de Operaciones'!$J$6,FALSE))</f>
      </c>
      <c r="J8" s="96">
        <f>+IF(A8&gt;0,"N","")</f>
      </c>
      <c r="K8" s="95">
        <f>IF(A8=0,"",+VLOOKUP(A8,Tabla3[],'Registro de Operaciones'!$L$6,FALSE))</f>
      </c>
      <c r="L8" s="96">
        <f>+IF(A8&gt;0,"E","")</f>
      </c>
      <c r="M8" s="100">
        <f>IF(A8=0,"",+VLOOKUP(A8,Tabla3[],'Registro de Operaciones'!$E$6,FALSE))</f>
      </c>
      <c r="N8" s="95">
        <f>+IF(A8&gt;0,"Nayrut Flores","")</f>
      </c>
    </row>
    <row x14ac:dyDescent="0.25" r="9" customHeight="1" ht="18.75">
      <c r="A9" s="33">
        <f>+BD!AH10</f>
      </c>
      <c r="B9" s="94">
        <f>IF(A9=0,"",VLOOKUP(+VLOOKUP(A9,Tabla3[],'Registro de Operaciones'!$F$6,FALSE),DOI_Tipo,2,FALSE))</f>
      </c>
      <c r="C9" s="95">
        <f>IF(A9=0,"",+VLOOKUP(A9,Tabla3[#All],'Registro de Operaciones'!$G$6,FALSE))</f>
      </c>
      <c r="D9" s="99">
        <f>IF(A9=0,"",VLOOKUP(+VLOOKUP(A9,Tabla3[],'Registro de Operaciones'!$N$6,FALSE),Tipo_Abono,2,FALSE))</f>
        <v>25568.791666666668</v>
      </c>
      <c r="E9" s="95">
        <f>IF(A9=0,"",+VLOOKUP(A9,Tabla3[],'Registro de Operaciones'!$O$6,FALSE))</f>
      </c>
      <c r="F9" s="95">
        <f>IF(A9=0,"",+VLOOKUP(A9,Tabla3[],'Registro de Operaciones'!$H$6,FALSE))</f>
      </c>
      <c r="G9" s="97">
        <f>IF(A9=0,"",ROUND(+VLOOKUP(A9,Tabla3[],'Registro de Operaciones'!$X$6,FALSE),2))</f>
      </c>
      <c r="H9" s="96">
        <f>IF(A9=0,"",VLOOKUP(+VLOOKUP(A9,Tabla3[],'Registro de Operaciones'!$I$6,FALSE),Tipo_Recibo,2,FALSE))</f>
      </c>
      <c r="I9" s="95">
        <f>IF(A9=0,"",+VLOOKUP(A9,Tabla3[],'Registro de Operaciones'!$J$6,FALSE))</f>
      </c>
      <c r="J9" s="96">
        <f>+IF(A9&gt;0,"N","")</f>
      </c>
      <c r="K9" s="95">
        <f>IF(A9=0,"",+VLOOKUP(A9,Tabla3[],'Registro de Operaciones'!$L$6,FALSE))</f>
      </c>
      <c r="L9" s="96">
        <f>+IF(A9&gt;0,"E","")</f>
      </c>
      <c r="M9" s="100">
        <f>IF(A9=0,"",+VLOOKUP(A9,Tabla3[],'Registro de Operaciones'!$E$6,FALSE))</f>
      </c>
      <c r="N9" s="95">
        <f>+IF(A9&gt;0,"Nayrut Flores","")</f>
      </c>
    </row>
    <row x14ac:dyDescent="0.25" r="10" customHeight="1" ht="18.75">
      <c r="A10" s="33">
        <f>+BD!AH11</f>
      </c>
      <c r="B10" s="94">
        <f>IF(A10=0,"",VLOOKUP(+VLOOKUP(A10,Tabla3[],'Registro de Operaciones'!$F$6,FALSE),DOI_Tipo,2,FALSE))</f>
      </c>
      <c r="C10" s="95">
        <f>IF(A10=0,"",+VLOOKUP(A10,Tabla3[#All],'Registro de Operaciones'!$G$6,FALSE))</f>
      </c>
      <c r="D10" s="99">
        <f>IF(A10=0,"",VLOOKUP(+VLOOKUP(A10,Tabla3[],'Registro de Operaciones'!$N$6,FALSE),Tipo_Abono,2,FALSE))</f>
        <v>25568.791666666668</v>
      </c>
      <c r="E10" s="95">
        <f>IF(A10=0,"",+VLOOKUP(A10,Tabla3[],'Registro de Operaciones'!$O$6,FALSE))</f>
      </c>
      <c r="F10" s="95">
        <f>IF(A10=0,"",+VLOOKUP(A10,Tabla3[],'Registro de Operaciones'!$H$6,FALSE))</f>
      </c>
      <c r="G10" s="97">
        <f>IF(A10=0,"",ROUND(+VLOOKUP(A10,Tabla3[],'Registro de Operaciones'!$X$6,FALSE),2))</f>
      </c>
      <c r="H10" s="96">
        <f>IF(A10=0,"",VLOOKUP(+VLOOKUP(A10,Tabla3[],'Registro de Operaciones'!$I$6,FALSE),Tipo_Recibo,2,FALSE))</f>
      </c>
      <c r="I10" s="95">
        <f>IF(A10=0,"",+VLOOKUP(A10,Tabla3[],'Registro de Operaciones'!$J$6,FALSE))</f>
      </c>
      <c r="J10" s="96">
        <f>+IF(A10&gt;0,"N","")</f>
      </c>
      <c r="K10" s="95">
        <f>IF(A10=0,"",+VLOOKUP(A10,Tabla3[],'Registro de Operaciones'!$L$6,FALSE))</f>
      </c>
      <c r="L10" s="96">
        <f>+IF(A10&gt;0,"E","")</f>
      </c>
      <c r="M10" s="100">
        <f>IF(A10=0,"",+VLOOKUP(A10,Tabla3[],'Registro de Operaciones'!$E$6,FALSE))</f>
      </c>
      <c r="N10" s="95">
        <f>+IF(A10&gt;0,"Nayrut Flores","")</f>
      </c>
    </row>
    <row x14ac:dyDescent="0.25" r="11" customHeight="1" ht="18.75">
      <c r="A11" s="33">
        <f>+BD!AH12</f>
      </c>
      <c r="B11" s="94">
        <f>IF(A11=0,"",VLOOKUP(+VLOOKUP(A11,Tabla3[],'Registro de Operaciones'!$F$6,FALSE),DOI_Tipo,2,FALSE))</f>
      </c>
      <c r="C11" s="95">
        <f>IF(A11=0,"",+VLOOKUP(A11,Tabla3[#All],'Registro de Operaciones'!$G$6,FALSE))</f>
      </c>
      <c r="D11" s="99">
        <f>IF(A11=0,"",VLOOKUP(+VLOOKUP(A11,Tabla3[],'Registro de Operaciones'!$N$6,FALSE),Tipo_Abono,2,FALSE))</f>
        <v>25568.791666666668</v>
      </c>
      <c r="E11" s="95">
        <f>IF(A11=0,"",+VLOOKUP(A11,Tabla3[],'Registro de Operaciones'!$O$6,FALSE))</f>
      </c>
      <c r="F11" s="95">
        <f>IF(A11=0,"",+VLOOKUP(A11,Tabla3[],'Registro de Operaciones'!$H$6,FALSE))</f>
      </c>
      <c r="G11" s="97">
        <f>IF(A11=0,"",ROUND(+VLOOKUP(A11,Tabla3[],'Registro de Operaciones'!$X$6,FALSE),2))</f>
      </c>
      <c r="H11" s="96">
        <f>IF(A11=0,"",VLOOKUP(+VLOOKUP(A11,Tabla3[],'Registro de Operaciones'!$I$6,FALSE),Tipo_Recibo,2,FALSE))</f>
      </c>
      <c r="I11" s="95">
        <f>IF(A11=0,"",+VLOOKUP(A11,Tabla3[],'Registro de Operaciones'!$J$6,FALSE))</f>
      </c>
      <c r="J11" s="96">
        <f>+IF(A11&gt;0,"N","")</f>
      </c>
      <c r="K11" s="95">
        <f>IF(A11=0,"",+VLOOKUP(A11,Tabla3[],'Registro de Operaciones'!$L$6,FALSE))</f>
      </c>
      <c r="L11" s="96">
        <f>+IF(A11&gt;0,"E","")</f>
      </c>
      <c r="M11" s="100">
        <f>IF(A11=0,"",+VLOOKUP(A11,Tabla3[],'Registro de Operaciones'!$E$6,FALSE))</f>
      </c>
      <c r="N11" s="95">
        <f>+IF(A11&gt;0,"Nayrut Flores","")</f>
      </c>
    </row>
    <row x14ac:dyDescent="0.25" r="12" customHeight="1" ht="18.75">
      <c r="A12" s="33">
        <f>+BD!AH13</f>
      </c>
      <c r="B12" s="94">
        <f>IF(A12=0,"",VLOOKUP(+VLOOKUP(A12,Tabla3[],'Registro de Operaciones'!$F$6,FALSE),DOI_Tipo,2,FALSE))</f>
      </c>
      <c r="C12" s="95">
        <f>IF(A12=0,"",+VLOOKUP(A12,Tabla3[#All],'Registro de Operaciones'!$G$6,FALSE))</f>
      </c>
      <c r="D12" s="99">
        <f>IF(A12=0,"",VLOOKUP(+VLOOKUP(A12,Tabla3[],'Registro de Operaciones'!$N$6,FALSE),Tipo_Abono,2,FALSE))</f>
        <v>25568.791666666668</v>
      </c>
      <c r="E12" s="95">
        <f>IF(A12=0,"",+VLOOKUP(A12,Tabla3[],'Registro de Operaciones'!$O$6,FALSE))</f>
      </c>
      <c r="F12" s="95">
        <f>IF(A12=0,"",+VLOOKUP(A12,Tabla3[],'Registro de Operaciones'!$H$6,FALSE))</f>
      </c>
      <c r="G12" s="97">
        <f>IF(A12=0,"",ROUND(+VLOOKUP(A12,Tabla3[],'Registro de Operaciones'!$X$6,FALSE),2))</f>
      </c>
      <c r="H12" s="96">
        <f>IF(A12=0,"",VLOOKUP(+VLOOKUP(A12,Tabla3[],'Registro de Operaciones'!$I$6,FALSE),Tipo_Recibo,2,FALSE))</f>
      </c>
      <c r="I12" s="95">
        <f>IF(A12=0,"",+VLOOKUP(A12,Tabla3[],'Registro de Operaciones'!$J$6,FALSE))</f>
      </c>
      <c r="J12" s="96">
        <f>+IF(A12&gt;0,"N","")</f>
      </c>
      <c r="K12" s="95">
        <f>IF(A12=0,"",+VLOOKUP(A12,Tabla3[],'Registro de Operaciones'!$L$6,FALSE))</f>
      </c>
      <c r="L12" s="96">
        <f>+IF(A12&gt;0,"E","")</f>
      </c>
      <c r="M12" s="100">
        <f>IF(A12=0,"",+VLOOKUP(A12,Tabla3[],'Registro de Operaciones'!$E$6,FALSE))</f>
      </c>
      <c r="N12" s="95">
        <f>+IF(A12&gt;0,"Nayrut Flores","")</f>
      </c>
    </row>
    <row x14ac:dyDescent="0.25" r="13" customHeight="1" ht="18.75">
      <c r="A13" s="33">
        <f>+BD!AH14</f>
      </c>
      <c r="B13" s="94">
        <f>IF(A13=0,"",VLOOKUP(+VLOOKUP(A13,Tabla3[],'Registro de Operaciones'!$F$6,FALSE),DOI_Tipo,2,FALSE))</f>
      </c>
      <c r="C13" s="95">
        <f>IF(A13=0,"",+VLOOKUP(A13,Tabla3[#All],'Registro de Operaciones'!$G$6,FALSE))</f>
      </c>
      <c r="D13" s="99">
        <f>IF(A13=0,"",VLOOKUP(+VLOOKUP(A13,Tabla3[],'Registro de Operaciones'!$N$6,FALSE),Tipo_Abono,2,FALSE))</f>
        <v>25568.791666666668</v>
      </c>
      <c r="E13" s="95">
        <f>IF(A13=0,"",+VLOOKUP(A13,Tabla3[],'Registro de Operaciones'!$O$6,FALSE))</f>
      </c>
      <c r="F13" s="95">
        <f>IF(A13=0,"",+VLOOKUP(A13,Tabla3[],'Registro de Operaciones'!$H$6,FALSE))</f>
      </c>
      <c r="G13" s="97">
        <f>IF(A13=0,"",ROUND(+VLOOKUP(A13,Tabla3[],'Registro de Operaciones'!$X$6,FALSE),2))</f>
      </c>
      <c r="H13" s="96">
        <f>IF(A13=0,"",VLOOKUP(+VLOOKUP(A13,Tabla3[],'Registro de Operaciones'!$I$6,FALSE),Tipo_Recibo,2,FALSE))</f>
      </c>
      <c r="I13" s="95">
        <f>IF(A13=0,"",+VLOOKUP(A13,Tabla3[],'Registro de Operaciones'!$J$6,FALSE))</f>
      </c>
      <c r="J13" s="96">
        <f>+IF(A13&gt;0,"N","")</f>
      </c>
      <c r="K13" s="95">
        <f>IF(A13=0,"",+VLOOKUP(A13,Tabla3[],'Registro de Operaciones'!$L$6,FALSE))</f>
      </c>
      <c r="L13" s="96">
        <f>+IF(A13&gt;0,"E","")</f>
      </c>
      <c r="M13" s="100">
        <f>IF(A13=0,"",+VLOOKUP(A13,Tabla3[],'Registro de Operaciones'!$E$6,FALSE))</f>
      </c>
      <c r="N13" s="95">
        <f>+IF(A13&gt;0,"Nayrut Flores","")</f>
      </c>
    </row>
    <row x14ac:dyDescent="0.25" r="14" customHeight="1" ht="18.75">
      <c r="A14" s="33">
        <f>+BD!AH15</f>
      </c>
      <c r="B14" s="94">
        <f>IF(A14=0,"",VLOOKUP(+VLOOKUP(A14,Tabla3[],'Registro de Operaciones'!$F$6,FALSE),DOI_Tipo,2,FALSE))</f>
      </c>
      <c r="C14" s="95">
        <f>IF(A14=0,"",+VLOOKUP(A14,Tabla3[#All],'Registro de Operaciones'!$G$6,FALSE))</f>
      </c>
      <c r="D14" s="99">
        <f>IF(A14=0,"",VLOOKUP(+VLOOKUP(A14,Tabla3[],'Registro de Operaciones'!$N$6,FALSE),Tipo_Abono,2,FALSE))</f>
        <v>25568.791666666668</v>
      </c>
      <c r="E14" s="95">
        <f>IF(A14=0,"",+VLOOKUP(A14,Tabla3[],'Registro de Operaciones'!$O$6,FALSE))</f>
      </c>
      <c r="F14" s="95">
        <f>IF(A14=0,"",+VLOOKUP(A14,Tabla3[],'Registro de Operaciones'!$H$6,FALSE))</f>
      </c>
      <c r="G14" s="97">
        <f>IF(A14=0,"",ROUND(+VLOOKUP(A14,Tabla3[],'Registro de Operaciones'!$X$6,FALSE),2))</f>
      </c>
      <c r="H14" s="96">
        <f>IF(A14=0,"",VLOOKUP(+VLOOKUP(A14,Tabla3[],'Registro de Operaciones'!$I$6,FALSE),Tipo_Recibo,2,FALSE))</f>
      </c>
      <c r="I14" s="95">
        <f>IF(A14=0,"",+VLOOKUP(A14,Tabla3[],'Registro de Operaciones'!$J$6,FALSE))</f>
      </c>
      <c r="J14" s="96">
        <f>+IF(A14&gt;0,"N","")</f>
      </c>
      <c r="K14" s="95">
        <f>IF(A14=0,"",+VLOOKUP(A14,Tabla3[],'Registro de Operaciones'!$L$6,FALSE))</f>
      </c>
      <c r="L14" s="96">
        <f>+IF(A14&gt;0,"E","")</f>
      </c>
      <c r="M14" s="100">
        <f>IF(A14=0,"",+VLOOKUP(A14,Tabla3[],'Registro de Operaciones'!$E$6,FALSE))</f>
      </c>
      <c r="N14" s="95">
        <f>+IF(A14&gt;0,"Nayrut Flores","")</f>
      </c>
    </row>
    <row x14ac:dyDescent="0.25" r="15" customHeight="1" ht="18.75">
      <c r="A15" s="33">
        <f>+BD!AH16</f>
      </c>
      <c r="B15" s="94">
        <f>IF(A15=0,"",VLOOKUP(+VLOOKUP(A15,Tabla3[],'Registro de Operaciones'!$F$6,FALSE),DOI_Tipo,2,FALSE))</f>
      </c>
      <c r="C15" s="95">
        <f>IF(A15=0,"",+VLOOKUP(A15,Tabla3[#All],'Registro de Operaciones'!$G$6,FALSE))</f>
      </c>
      <c r="D15" s="99">
        <f>IF(A15=0,"",VLOOKUP(+VLOOKUP(A15,Tabla3[],'Registro de Operaciones'!$N$6,FALSE),Tipo_Abono,2,FALSE))</f>
        <v>25568.791666666668</v>
      </c>
      <c r="E15" s="95">
        <f>IF(A15=0,"",+VLOOKUP(A15,Tabla3[],'Registro de Operaciones'!$O$6,FALSE))</f>
      </c>
      <c r="F15" s="95">
        <f>IF(A15=0,"",+VLOOKUP(A15,Tabla3[],'Registro de Operaciones'!$H$6,FALSE))</f>
      </c>
      <c r="G15" s="97">
        <f>IF(A15=0,"",ROUND(+VLOOKUP(A15,Tabla3[],'Registro de Operaciones'!$X$6,FALSE),2))</f>
      </c>
      <c r="H15" s="96">
        <f>IF(A15=0,"",VLOOKUP(+VLOOKUP(A15,Tabla3[],'Registro de Operaciones'!$I$6,FALSE),Tipo_Recibo,2,FALSE))</f>
      </c>
      <c r="I15" s="95">
        <f>IF(A15=0,"",+VLOOKUP(A15,Tabla3[],'Registro de Operaciones'!$J$6,FALSE))</f>
      </c>
      <c r="J15" s="96">
        <f>+IF(A15&gt;0,"N","")</f>
      </c>
      <c r="K15" s="95">
        <f>IF(A15=0,"",+VLOOKUP(A15,Tabla3[],'Registro de Operaciones'!$L$6,FALSE))</f>
      </c>
      <c r="L15" s="96">
        <f>+IF(A15&gt;0,"E","")</f>
      </c>
      <c r="M15" s="100">
        <f>IF(A15=0,"",+VLOOKUP(A15,Tabla3[],'Registro de Operaciones'!$E$6,FALSE))</f>
      </c>
      <c r="N15" s="95">
        <f>+IF(A15&gt;0,"Nayrut Flores","")</f>
      </c>
    </row>
    <row x14ac:dyDescent="0.25" r="16" customHeight="1" ht="18.75">
      <c r="A16" s="33">
        <f>+BD!AH17</f>
      </c>
      <c r="B16" s="94">
        <f>IF(A16=0,"",VLOOKUP(+VLOOKUP(A16,Tabla3[],'Registro de Operaciones'!$F$6,FALSE),DOI_Tipo,2,FALSE))</f>
      </c>
      <c r="C16" s="95">
        <f>IF(A16=0,"",+VLOOKUP(A16,Tabla3[#All],'Registro de Operaciones'!$G$6,FALSE))</f>
      </c>
      <c r="D16" s="99">
        <f>IF(A16=0,"",VLOOKUP(+VLOOKUP(A16,Tabla3[],'Registro de Operaciones'!$N$6,FALSE),Tipo_Abono,2,FALSE))</f>
        <v>25568.791666666668</v>
      </c>
      <c r="E16" s="95">
        <f>IF(A16=0,"",+VLOOKUP(A16,Tabla3[],'Registro de Operaciones'!$O$6,FALSE))</f>
      </c>
      <c r="F16" s="95">
        <f>IF(A16=0,"",+VLOOKUP(A16,Tabla3[],'Registro de Operaciones'!$H$6,FALSE))</f>
      </c>
      <c r="G16" s="97">
        <f>IF(A16=0,"",ROUND(+VLOOKUP(A16,Tabla3[],'Registro de Operaciones'!$X$6,FALSE),2))</f>
      </c>
      <c r="H16" s="96">
        <f>IF(A16=0,"",VLOOKUP(+VLOOKUP(A16,Tabla3[],'Registro de Operaciones'!$I$6,FALSE),Tipo_Recibo,2,FALSE))</f>
      </c>
      <c r="I16" s="95">
        <f>IF(A16=0,"",+VLOOKUP(A16,Tabla3[],'Registro de Operaciones'!$J$6,FALSE))</f>
      </c>
      <c r="J16" s="96">
        <f>+IF(A16&gt;0,"N","")</f>
      </c>
      <c r="K16" s="95">
        <f>IF(A16=0,"",+VLOOKUP(A16,Tabla3[],'Registro de Operaciones'!$L$6,FALSE))</f>
      </c>
      <c r="L16" s="96">
        <f>+IF(A16&gt;0,"E","")</f>
      </c>
      <c r="M16" s="100">
        <f>IF(A16=0,"",+VLOOKUP(A16,Tabla3[],'Registro de Operaciones'!$E$6,FALSE))</f>
      </c>
      <c r="N16" s="95">
        <f>+IF(A16&gt;0,"Nayrut Flores","")</f>
      </c>
    </row>
    <row x14ac:dyDescent="0.25" r="17" customHeight="1" ht="18.75">
      <c r="A17" s="33">
        <f>+BD!AH18</f>
      </c>
      <c r="B17" s="94">
        <f>IF(A17=0,"",VLOOKUP(+VLOOKUP(A17,Tabla3[],'Registro de Operaciones'!$F$6,FALSE),DOI_Tipo,2,FALSE))</f>
      </c>
      <c r="C17" s="95">
        <f>IF(A17=0,"",+VLOOKUP(A17,Tabla3[#All],'Registro de Operaciones'!$G$6,FALSE))</f>
      </c>
      <c r="D17" s="99">
        <f>IF(A17=0,"",VLOOKUP(+VLOOKUP(A17,Tabla3[],'Registro de Operaciones'!$N$6,FALSE),Tipo_Abono,2,FALSE))</f>
        <v>25568.791666666668</v>
      </c>
      <c r="E17" s="95">
        <f>IF(A17=0,"",+VLOOKUP(A17,Tabla3[],'Registro de Operaciones'!$O$6,FALSE))</f>
      </c>
      <c r="F17" s="95">
        <f>IF(A17=0,"",+VLOOKUP(A17,Tabla3[],'Registro de Operaciones'!$H$6,FALSE))</f>
      </c>
      <c r="G17" s="97">
        <f>IF(A17=0,"",ROUND(+VLOOKUP(A17,Tabla3[],'Registro de Operaciones'!$X$6,FALSE),2))</f>
      </c>
      <c r="H17" s="96">
        <f>IF(A17=0,"",VLOOKUP(+VLOOKUP(A17,Tabla3[],'Registro de Operaciones'!$I$6,FALSE),Tipo_Recibo,2,FALSE))</f>
      </c>
      <c r="I17" s="95">
        <f>IF(A17=0,"",+VLOOKUP(A17,Tabla3[],'Registro de Operaciones'!$J$6,FALSE))</f>
      </c>
      <c r="J17" s="96">
        <f>+IF(A17&gt;0,"N","")</f>
      </c>
      <c r="K17" s="95">
        <f>IF(A17=0,"",+VLOOKUP(A17,Tabla3[],'Registro de Operaciones'!$L$6,FALSE))</f>
      </c>
      <c r="L17" s="96">
        <f>+IF(A17&gt;0,"E","")</f>
      </c>
      <c r="M17" s="100">
        <f>IF(A17=0,"",+VLOOKUP(A17,Tabla3[],'Registro de Operaciones'!$E$6,FALSE))</f>
      </c>
      <c r="N17" s="95">
        <f>+IF(A17&gt;0,"Nayrut Flores","")</f>
      </c>
    </row>
    <row x14ac:dyDescent="0.25" r="18" customHeight="1" ht="18.75">
      <c r="A18" s="33">
        <f>+BD!AH19</f>
      </c>
      <c r="B18" s="94">
        <f>IF(A18=0,"",VLOOKUP(+VLOOKUP(A18,Tabla3[],'Registro de Operaciones'!$F$6,FALSE),DOI_Tipo,2,FALSE))</f>
      </c>
      <c r="C18" s="95">
        <f>IF(A18=0,"",+VLOOKUP(A18,Tabla3[#All],'Registro de Operaciones'!$G$6,FALSE))</f>
      </c>
      <c r="D18" s="99">
        <f>IF(A18=0,"",VLOOKUP(+VLOOKUP(A18,Tabla3[],'Registro de Operaciones'!$N$6,FALSE),Tipo_Abono,2,FALSE))</f>
        <v>25568.791666666668</v>
      </c>
      <c r="E18" s="95">
        <f>IF(A18=0,"",+VLOOKUP(A18,Tabla3[],'Registro de Operaciones'!$O$6,FALSE))</f>
      </c>
      <c r="F18" s="95">
        <f>IF(A18=0,"",+VLOOKUP(A18,Tabla3[],'Registro de Operaciones'!$H$6,FALSE))</f>
      </c>
      <c r="G18" s="97">
        <f>IF(A18=0,"",ROUND(+VLOOKUP(A18,Tabla3[],'Registro de Operaciones'!$X$6,FALSE),2))</f>
      </c>
      <c r="H18" s="96">
        <f>IF(A18=0,"",VLOOKUP(+VLOOKUP(A18,Tabla3[],'Registro de Operaciones'!$I$6,FALSE),Tipo_Recibo,2,FALSE))</f>
      </c>
      <c r="I18" s="95">
        <f>IF(A18=0,"",+VLOOKUP(A18,Tabla3[],'Registro de Operaciones'!$J$6,FALSE))</f>
      </c>
      <c r="J18" s="96">
        <f>+IF(A18&gt;0,"N","")</f>
      </c>
      <c r="K18" s="95">
        <f>IF(A18=0,"",+VLOOKUP(A18,Tabla3[],'Registro de Operaciones'!$L$6,FALSE))</f>
      </c>
      <c r="L18" s="96">
        <f>+IF(A18&gt;0,"E","")</f>
      </c>
      <c r="M18" s="100">
        <f>IF(A18=0,"",+VLOOKUP(A18,Tabla3[],'Registro de Operaciones'!$E$6,FALSE))</f>
      </c>
      <c r="N18" s="95">
        <f>+IF(A18&gt;0,"Nayrut Flores","")</f>
      </c>
    </row>
    <row x14ac:dyDescent="0.25" r="19" customHeight="1" ht="18.75">
      <c r="A19" s="33">
        <f>+BD!AH20</f>
      </c>
      <c r="B19" s="94">
        <f>IF(A19=0,"",VLOOKUP(+VLOOKUP(A19,Tabla3[],'Registro de Operaciones'!$F$6,FALSE),DOI_Tipo,2,FALSE))</f>
      </c>
      <c r="C19" s="95">
        <f>IF(A19=0,"",+VLOOKUP(A19,Tabla3[#All],'Registro de Operaciones'!$G$6,FALSE))</f>
      </c>
      <c r="D19" s="99">
        <f>IF(A19=0,"",VLOOKUP(+VLOOKUP(A19,Tabla3[],'Registro de Operaciones'!$N$6,FALSE),Tipo_Abono,2,FALSE))</f>
        <v>25568.791666666668</v>
      </c>
      <c r="E19" s="95">
        <f>IF(A19=0,"",+VLOOKUP(A19,Tabla3[],'Registro de Operaciones'!$O$6,FALSE))</f>
      </c>
      <c r="F19" s="95">
        <f>IF(A19=0,"",+VLOOKUP(A19,Tabla3[],'Registro de Operaciones'!$H$6,FALSE))</f>
      </c>
      <c r="G19" s="97">
        <f>IF(A19=0,"",ROUND(+VLOOKUP(A19,Tabla3[],'Registro de Operaciones'!$X$6,FALSE),2))</f>
      </c>
      <c r="H19" s="96">
        <f>IF(A19=0,"",VLOOKUP(+VLOOKUP(A19,Tabla3[],'Registro de Operaciones'!$I$6,FALSE),Tipo_Recibo,2,FALSE))</f>
      </c>
      <c r="I19" s="95">
        <f>IF(A19=0,"",+VLOOKUP(A19,Tabla3[],'Registro de Operaciones'!$J$6,FALSE))</f>
      </c>
      <c r="J19" s="96">
        <f>+IF(A19&gt;0,"N","")</f>
      </c>
      <c r="K19" s="95">
        <f>IF(A19=0,"",+VLOOKUP(A19,Tabla3[],'Registro de Operaciones'!$L$6,FALSE))</f>
      </c>
      <c r="L19" s="96">
        <f>+IF(A19&gt;0,"E","")</f>
      </c>
      <c r="M19" s="100">
        <f>IF(A19=0,"",+VLOOKUP(A19,Tabla3[],'Registro de Operaciones'!$E$6,FALSE))</f>
      </c>
      <c r="N19" s="95">
        <f>+IF(A19&gt;0,"Nayrut Flores","")</f>
      </c>
    </row>
    <row x14ac:dyDescent="0.25" r="20" customHeight="1" ht="18.75">
      <c r="A20" s="33">
        <f>+BD!AH21</f>
      </c>
      <c r="B20" s="94">
        <f>IF(A20=0,"",VLOOKUP(+VLOOKUP(A20,Tabla3[],'Registro de Operaciones'!$F$6,FALSE),DOI_Tipo,2,FALSE))</f>
      </c>
      <c r="C20" s="95">
        <f>IF(A20=0,"",+VLOOKUP(A20,Tabla3[#All],'Registro de Operaciones'!$G$6,FALSE))</f>
      </c>
      <c r="D20" s="99">
        <f>IF(A20=0,"",VLOOKUP(+VLOOKUP(A20,Tabla3[],'Registro de Operaciones'!$N$6,FALSE),Tipo_Abono,2,FALSE))</f>
        <v>25568.791666666668</v>
      </c>
      <c r="E20" s="95">
        <f>IF(A20=0,"",+VLOOKUP(A20,Tabla3[],'Registro de Operaciones'!$O$6,FALSE))</f>
      </c>
      <c r="F20" s="95">
        <f>IF(A20=0,"",+VLOOKUP(A20,Tabla3[],'Registro de Operaciones'!$H$6,FALSE))</f>
      </c>
      <c r="G20" s="97">
        <f>IF(A20=0,"",ROUND(+VLOOKUP(A20,Tabla3[],'Registro de Operaciones'!$X$6,FALSE),2))</f>
      </c>
      <c r="H20" s="96">
        <f>IF(A20=0,"",VLOOKUP(+VLOOKUP(A20,Tabla3[],'Registro de Operaciones'!$I$6,FALSE),Tipo_Recibo,2,FALSE))</f>
      </c>
      <c r="I20" s="95">
        <f>IF(A20=0,"",+VLOOKUP(A20,Tabla3[],'Registro de Operaciones'!$J$6,FALSE))</f>
      </c>
      <c r="J20" s="96">
        <f>+IF(A20&gt;0,"N","")</f>
      </c>
      <c r="K20" s="95">
        <f>IF(A20=0,"",+VLOOKUP(A20,Tabla3[],'Registro de Operaciones'!$L$6,FALSE))</f>
      </c>
      <c r="L20" s="96">
        <f>+IF(A20&gt;0,"E","")</f>
      </c>
      <c r="M20" s="100">
        <f>IF(A20=0,"",+VLOOKUP(A20,Tabla3[],'Registro de Operaciones'!$E$6,FALSE))</f>
      </c>
      <c r="N20" s="95">
        <f>+IF(A20&gt;0,"Nayrut Flores","")</f>
      </c>
    </row>
    <row x14ac:dyDescent="0.25" r="21" customHeight="1" ht="18.75">
      <c r="A21" s="33">
        <f>+BD!AH22</f>
      </c>
      <c r="B21" s="94">
        <f>IF(A21=0,"",VLOOKUP(+VLOOKUP(A21,Tabla3[],'Registro de Operaciones'!$F$6,FALSE),DOI_Tipo,2,FALSE))</f>
      </c>
      <c r="C21" s="95">
        <f>IF(A21=0,"",+VLOOKUP(A21,Tabla3[#All],'Registro de Operaciones'!$G$6,FALSE))</f>
      </c>
      <c r="D21" s="99">
        <f>IF(A21=0,"",VLOOKUP(+VLOOKUP(A21,Tabla3[],'Registro de Operaciones'!$N$6,FALSE),Tipo_Abono,2,FALSE))</f>
        <v>25568.791666666668</v>
      </c>
      <c r="E21" s="95">
        <f>IF(A21=0,"",+VLOOKUP(A21,Tabla3[],'Registro de Operaciones'!$O$6,FALSE))</f>
      </c>
      <c r="F21" s="95">
        <f>IF(A21=0,"",+VLOOKUP(A21,Tabla3[],'Registro de Operaciones'!$H$6,FALSE))</f>
      </c>
      <c r="G21" s="97">
        <f>IF(A21=0,"",ROUND(+VLOOKUP(A21,Tabla3[],'Registro de Operaciones'!$X$6,FALSE),2))</f>
      </c>
      <c r="H21" s="96">
        <f>IF(A21=0,"",VLOOKUP(+VLOOKUP(A21,Tabla3[],'Registro de Operaciones'!$I$6,FALSE),Tipo_Recibo,2,FALSE))</f>
      </c>
      <c r="I21" s="95">
        <f>IF(A21=0,"",+VLOOKUP(A21,Tabla3[],'Registro de Operaciones'!$J$6,FALSE))</f>
      </c>
      <c r="J21" s="96">
        <f>+IF(A21&gt;0,"N","")</f>
      </c>
      <c r="K21" s="95">
        <f>IF(A21=0,"",+VLOOKUP(A21,Tabla3[],'Registro de Operaciones'!$L$6,FALSE))</f>
      </c>
      <c r="L21" s="96">
        <f>+IF(A21&gt;0,"E","")</f>
      </c>
      <c r="M21" s="100">
        <f>IF(A21=0,"",+VLOOKUP(A21,Tabla3[],'Registro de Operaciones'!$E$6,FALSE))</f>
      </c>
      <c r="N21" s="95">
        <f>+IF(A21&gt;0,"Nayrut Flores","")</f>
      </c>
    </row>
    <row x14ac:dyDescent="0.25" r="22" customHeight="1" ht="18.75">
      <c r="A22" s="7"/>
      <c r="B22" s="10"/>
      <c r="C22" s="1"/>
      <c r="D22" s="10"/>
      <c r="E22" s="1"/>
      <c r="F22" s="1"/>
      <c r="G22" s="101"/>
      <c r="H22" s="10"/>
      <c r="I22" s="1"/>
      <c r="J22" s="10"/>
      <c r="K22" s="1"/>
      <c r="L22" s="10"/>
      <c r="M22" s="90"/>
      <c r="N22" s="1"/>
    </row>
    <row x14ac:dyDescent="0.25" r="23" customHeight="1" ht="18.75">
      <c r="A23" s="102" t="s">
        <v>128</v>
      </c>
      <c r="B23" s="103"/>
      <c r="C23" s="103"/>
      <c r="D23" s="10"/>
      <c r="E23" s="1"/>
      <c r="F23" s="1"/>
      <c r="G23" s="89"/>
      <c r="H23" s="10"/>
      <c r="I23" s="1"/>
      <c r="J23" s="10"/>
      <c r="K23" s="1"/>
      <c r="L23" s="10"/>
      <c r="M23" s="90"/>
      <c r="N23" s="1"/>
    </row>
    <row x14ac:dyDescent="0.25" r="24" customHeight="1" ht="18.75">
      <c r="A24" s="33"/>
      <c r="B24" s="10"/>
      <c r="C24" s="1"/>
      <c r="D24" s="10"/>
      <c r="E24" s="1"/>
      <c r="F24" s="1"/>
      <c r="G24" s="89"/>
      <c r="H24" s="10"/>
      <c r="I24" s="1"/>
      <c r="J24" s="10"/>
      <c r="K24" s="1"/>
      <c r="L24" s="10"/>
      <c r="M24" s="90"/>
      <c r="N24" s="1"/>
    </row>
    <row x14ac:dyDescent="0.25" r="25" customHeight="1" ht="18.75">
      <c r="A25" s="91" t="s">
        <v>1031</v>
      </c>
      <c r="B25" s="92" t="s">
        <v>1032</v>
      </c>
      <c r="C25" s="92" t="s">
        <v>1033</v>
      </c>
      <c r="D25" s="92" t="s">
        <v>1034</v>
      </c>
      <c r="E25" s="92" t="s">
        <v>1035</v>
      </c>
      <c r="F25" s="92" t="s">
        <v>1036</v>
      </c>
      <c r="G25" s="93" t="s">
        <v>1037</v>
      </c>
      <c r="H25" s="92" t="s">
        <v>1038</v>
      </c>
      <c r="I25" s="92" t="s">
        <v>1039</v>
      </c>
      <c r="J25" s="92" t="s">
        <v>1040</v>
      </c>
      <c r="K25" s="92" t="s">
        <v>1041</v>
      </c>
      <c r="L25" s="92" t="s">
        <v>1042</v>
      </c>
      <c r="M25" s="92" t="s">
        <v>1043</v>
      </c>
      <c r="N25" s="92" t="s">
        <v>1044</v>
      </c>
    </row>
    <row x14ac:dyDescent="0.25" r="26" customHeight="1" ht="18.75">
      <c r="A26" s="33">
        <f>+BD!AL5</f>
      </c>
      <c r="B26" s="94">
        <f>IF(A26=0,"",VLOOKUP(+VLOOKUP(A26,Tabla3[],'Registro de Operaciones'!$F$6,FALSE),DOI_Tipo,2,FALSE))</f>
      </c>
      <c r="C26" s="95">
        <f>IF(A26=0,"",+VLOOKUP(A26,Tabla3[#All],'Registro de Operaciones'!$G$6,FALSE))</f>
      </c>
      <c r="D26" s="96">
        <f>IF(A26=0,"",VLOOKUP(+VLOOKUP(A26,Tabla3[],'Registro de Operaciones'!$N$6,FALSE),Tipo_Abono,2,FALSE))</f>
      </c>
      <c r="E26" s="95">
        <f>IF(A26=0,"",+VLOOKUP(A26,Tabla3[],'Registro de Operaciones'!$O$6,FALSE))</f>
      </c>
      <c r="F26" s="95">
        <f>IF(A26=0,"",+VLOOKUP(A26,Tabla3[],'Registro de Operaciones'!$H$6,FALSE))</f>
      </c>
      <c r="G26" s="97">
        <f>IF(A26=0,"",ROUND(+VLOOKUP(A26,Tabla3[],'Registro de Operaciones'!$U$6,FALSE),2))</f>
      </c>
      <c r="H26" s="96">
        <f>IF(A26=0,"",VLOOKUP(+VLOOKUP(A26,Tabla3[],'Registro de Operaciones'!$I$6,FALSE),Tipo_Recibo,2,FALSE))</f>
      </c>
      <c r="I26" s="95">
        <f>IF(A26=0,"",+VLOOKUP(A26,Tabla3[],'Registro de Operaciones'!$J$6,FALSE))</f>
      </c>
      <c r="J26" s="96">
        <f>+IF(A26&gt;0,"N","")</f>
      </c>
      <c r="K26" s="95">
        <f>IF(A26=0,"",+VLOOKUP(A26,Tabla3[],'Registro de Operaciones'!$L$6,FALSE))</f>
      </c>
      <c r="L26" s="96">
        <f>+IF(A26&gt;0,"E","")</f>
      </c>
      <c r="M26" s="98">
        <f>IF(A26=0,"",+VLOOKUP(A26,Tabla3[],'Registro de Operaciones'!$E$6,FALSE))</f>
      </c>
      <c r="N26" s="95">
        <f>+IF(A26&gt;0,"Nayrut Flores","")</f>
      </c>
    </row>
    <row x14ac:dyDescent="0.25" r="27" customHeight="1" ht="18.75">
      <c r="A27" s="33">
        <f>+BD!AL6</f>
      </c>
      <c r="B27" s="94">
        <f>IF(A27=0,"",VLOOKUP(+VLOOKUP(A27,Tabla3[],'Registro de Operaciones'!$F$6,FALSE),DOI_Tipo,2,FALSE))</f>
      </c>
      <c r="C27" s="95">
        <f>IF(A27=0,"",+VLOOKUP(A27,Tabla3[#All],'Registro de Operaciones'!$G$6,FALSE))</f>
      </c>
      <c r="D27" s="99">
        <f>IF(A27=0,"",VLOOKUP(+VLOOKUP(A27,Tabla3[],'Registro de Operaciones'!$N$6,FALSE),Tipo_Abono,2,FALSE))</f>
        <v>25568.791666666668</v>
      </c>
      <c r="E27" s="95">
        <f>IF(A27=0,"",+VLOOKUP(A27,Tabla3[],'Registro de Operaciones'!$O$6,FALSE))</f>
      </c>
      <c r="F27" s="95">
        <f>IF(A27=0,"",+VLOOKUP(A27,Tabla3[],'Registro de Operaciones'!$H$6,FALSE))</f>
      </c>
      <c r="G27" s="97">
        <f>IF(A27=0,"",ROUND(+VLOOKUP(A27,Tabla3[],'Registro de Operaciones'!$U$6,FALSE),2))</f>
      </c>
      <c r="H27" s="96">
        <f>IF(A27=0,"",VLOOKUP(+VLOOKUP(A27,Tabla3[],'Registro de Operaciones'!$I$6,FALSE),Tipo_Recibo,2,FALSE))</f>
      </c>
      <c r="I27" s="95">
        <f>IF(A27=0,"",+VLOOKUP(A27,Tabla3[],'Registro de Operaciones'!$J$6,FALSE))</f>
      </c>
      <c r="J27" s="96">
        <f>+IF(A27&gt;0,"N","")</f>
      </c>
      <c r="K27" s="95">
        <f>IF(A27=0,"",+VLOOKUP(A27,Tabla3[],'Registro de Operaciones'!$L$6,FALSE))</f>
      </c>
      <c r="L27" s="96">
        <f>+IF(A27&gt;0,"E","")</f>
      </c>
      <c r="M27" s="98">
        <f>IF(A27=0,"",+VLOOKUP(A27,Tabla3[],'Registro de Operaciones'!$E$6,FALSE))</f>
      </c>
      <c r="N27" s="95">
        <f>+IF(A27&gt;0,"Nayrut Flores","")</f>
      </c>
    </row>
    <row x14ac:dyDescent="0.25" r="28" customHeight="1" ht="18.75">
      <c r="A28" s="33">
        <f>+BD!AL7</f>
      </c>
      <c r="B28" s="94">
        <f>IF(A28=0,"",VLOOKUP(+VLOOKUP(A28,Tabla3[],'Registro de Operaciones'!$F$6,FALSE),DOI_Tipo,2,FALSE))</f>
      </c>
      <c r="C28" s="95">
        <f>IF(A28=0,"",+VLOOKUP(A28,Tabla3[#All],'Registro de Operaciones'!$G$6,FALSE))</f>
      </c>
      <c r="D28" s="99">
        <f>IF(A28=0,"",VLOOKUP(+VLOOKUP(A28,Tabla3[],'Registro de Operaciones'!$N$6,FALSE),Tipo_Abono,2,FALSE))</f>
        <v>25568.791666666668</v>
      </c>
      <c r="E28" s="95">
        <f>IF(A28=0,"",+VLOOKUP(A28,Tabla3[],'Registro de Operaciones'!$O$6,FALSE))</f>
      </c>
      <c r="F28" s="95">
        <f>IF(A28=0,"",+VLOOKUP(A28,Tabla3[],'Registro de Operaciones'!$H$6,FALSE))</f>
      </c>
      <c r="G28" s="97">
        <f>IF(A28=0,"",ROUND(+VLOOKUP(A28,Tabla3[],'Registro de Operaciones'!$U$6,FALSE),2))</f>
      </c>
      <c r="H28" s="96">
        <f>IF(A28=0,"",VLOOKUP(+VLOOKUP(A28,Tabla3[],'Registro de Operaciones'!$I$6,FALSE),Tipo_Recibo,2,FALSE))</f>
      </c>
      <c r="I28" s="95">
        <f>IF(A28=0,"",+VLOOKUP(A28,Tabla3[],'Registro de Operaciones'!$J$6,FALSE))</f>
      </c>
      <c r="J28" s="96">
        <f>+IF(A28&gt;0,"N","")</f>
      </c>
      <c r="K28" s="95">
        <f>IF(A28=0,"",+VLOOKUP(A28,Tabla3[],'Registro de Operaciones'!$L$6,FALSE))</f>
      </c>
      <c r="L28" s="96">
        <f>+IF(A28&gt;0,"E","")</f>
      </c>
      <c r="M28" s="98">
        <f>IF(A28=0,"",+VLOOKUP(A28,Tabla3[],'Registro de Operaciones'!$E$6,FALSE))</f>
      </c>
      <c r="N28" s="95">
        <f>+IF(A28&gt;0,"Nayrut Flores","")</f>
      </c>
    </row>
    <row x14ac:dyDescent="0.25" r="29" customHeight="1" ht="18.75">
      <c r="A29" s="33">
        <f>+BD!AL8</f>
      </c>
      <c r="B29" s="94">
        <f>IF(A29=0,"",VLOOKUP(+VLOOKUP(A29,Tabla3[],'Registro de Operaciones'!$F$6,FALSE),DOI_Tipo,2,FALSE))</f>
      </c>
      <c r="C29" s="95">
        <f>IF(A29=0,"",+VLOOKUP(A29,Tabla3[#All],'Registro de Operaciones'!$G$6,FALSE))</f>
      </c>
      <c r="D29" s="99">
        <f>IF(A29=0,"",VLOOKUP(+VLOOKUP(A29,Tabla3[],'Registro de Operaciones'!$N$6,FALSE),Tipo_Abono,2,FALSE))</f>
        <v>25568.791666666668</v>
      </c>
      <c r="E29" s="95">
        <f>IF(A29=0,"",+VLOOKUP(A29,Tabla3[],'Registro de Operaciones'!$O$6,FALSE))</f>
      </c>
      <c r="F29" s="95">
        <f>IF(A29=0,"",+VLOOKUP(A29,Tabla3[],'Registro de Operaciones'!$H$6,FALSE))</f>
      </c>
      <c r="G29" s="97">
        <f>IF(A29=0,"",ROUND(+VLOOKUP(A29,Tabla3[],'Registro de Operaciones'!$U$6,FALSE),2))</f>
      </c>
      <c r="H29" s="96">
        <f>IF(A29=0,"",VLOOKUP(+VLOOKUP(A29,Tabla3[],'Registro de Operaciones'!$I$6,FALSE),Tipo_Recibo,2,FALSE))</f>
      </c>
      <c r="I29" s="95">
        <f>IF(A29=0,"",+VLOOKUP(A29,Tabla3[],'Registro de Operaciones'!$J$6,FALSE))</f>
      </c>
      <c r="J29" s="96">
        <f>+IF(A29&gt;0,"N","")</f>
      </c>
      <c r="K29" s="95">
        <f>IF(A29=0,"",+VLOOKUP(A29,Tabla3[],'Registro de Operaciones'!$L$6,FALSE))</f>
      </c>
      <c r="L29" s="96">
        <f>+IF(A29&gt;0,"E","")</f>
      </c>
      <c r="M29" s="98">
        <f>IF(A29=0,"",+VLOOKUP(A29,Tabla3[],'Registro de Operaciones'!$E$6,FALSE))</f>
      </c>
      <c r="N29" s="95">
        <f>+IF(A29&gt;0,"Nayrut Flores","")</f>
      </c>
    </row>
    <row x14ac:dyDescent="0.25" r="30" customHeight="1" ht="18.75">
      <c r="A30" s="33">
        <f>+BD!AL9</f>
      </c>
      <c r="B30" s="94">
        <f>IF(A30=0,"",VLOOKUP(+VLOOKUP(A30,Tabla3[],'Registro de Operaciones'!$F$6,FALSE),DOI_Tipo,2,FALSE))</f>
      </c>
      <c r="C30" s="95">
        <f>IF(A30=0,"",+VLOOKUP(A30,Tabla3[#All],'Registro de Operaciones'!$G$6,FALSE))</f>
      </c>
      <c r="D30" s="99">
        <f>IF(A30=0,"",VLOOKUP(+VLOOKUP(A30,Tabla3[],'Registro de Operaciones'!$N$6,FALSE),Tipo_Abono,2,FALSE))</f>
        <v>25568.791666666668</v>
      </c>
      <c r="E30" s="95">
        <f>IF(A30=0,"",+VLOOKUP(A30,Tabla3[],'Registro de Operaciones'!$O$6,FALSE))</f>
      </c>
      <c r="F30" s="95">
        <f>IF(A30=0,"",+VLOOKUP(A30,Tabla3[],'Registro de Operaciones'!$H$6,FALSE))</f>
      </c>
      <c r="G30" s="97">
        <f>IF(A30=0,"",ROUND(+VLOOKUP(A30,Tabla3[],'Registro de Operaciones'!$U$6,FALSE),2))</f>
      </c>
      <c r="H30" s="96">
        <f>IF(A30=0,"",VLOOKUP(+VLOOKUP(A30,Tabla3[],'Registro de Operaciones'!$I$6,FALSE),Tipo_Recibo,2,FALSE))</f>
      </c>
      <c r="I30" s="95">
        <f>IF(A30=0,"",+VLOOKUP(A30,Tabla3[],'Registro de Operaciones'!$J$6,FALSE))</f>
      </c>
      <c r="J30" s="96">
        <f>+IF(A30&gt;0,"N","")</f>
      </c>
      <c r="K30" s="95">
        <f>IF(A30=0,"",+VLOOKUP(A30,Tabla3[],'Registro de Operaciones'!$L$6,FALSE))</f>
      </c>
      <c r="L30" s="96">
        <f>+IF(A30&gt;0,"E","")</f>
      </c>
      <c r="M30" s="98">
        <f>IF(A30=0,"",+VLOOKUP(A30,Tabla3[],'Registro de Operaciones'!$E$6,FALSE))</f>
      </c>
      <c r="N30" s="95">
        <f>+IF(A30&gt;0,"Nayrut Flores","")</f>
      </c>
    </row>
    <row x14ac:dyDescent="0.25" r="31" customHeight="1" ht="18.75">
      <c r="A31" s="33">
        <f>+BD!AL10</f>
      </c>
      <c r="B31" s="94">
        <f>IF(A31=0,"",VLOOKUP(+VLOOKUP(A31,Tabla3[],'Registro de Operaciones'!$F$6,FALSE),DOI_Tipo,2,FALSE))</f>
      </c>
      <c r="C31" s="95">
        <f>IF(A31=0,"",+VLOOKUP(A31,Tabla3[#All],'Registro de Operaciones'!$G$6,FALSE))</f>
      </c>
      <c r="D31" s="99">
        <f>IF(A31=0,"",VLOOKUP(+VLOOKUP(A31,Tabla3[],'Registro de Operaciones'!$N$6,FALSE),Tipo_Abono,2,FALSE))</f>
        <v>25568.791666666668</v>
      </c>
      <c r="E31" s="95">
        <f>IF(A31=0,"",+VLOOKUP(A31,Tabla3[],'Registro de Operaciones'!$O$6,FALSE))</f>
      </c>
      <c r="F31" s="95">
        <f>IF(A31=0,"",+VLOOKUP(A31,Tabla3[],'Registro de Operaciones'!$H$6,FALSE))</f>
      </c>
      <c r="G31" s="97">
        <f>IF(A31=0,"",ROUND(+VLOOKUP(A31,Tabla3[],'Registro de Operaciones'!$U$6,FALSE),2))</f>
      </c>
      <c r="H31" s="96">
        <f>IF(A31=0,"",VLOOKUP(+VLOOKUP(A31,Tabla3[],'Registro de Operaciones'!$I$6,FALSE),Tipo_Recibo,2,FALSE))</f>
      </c>
      <c r="I31" s="95">
        <f>IF(A31=0,"",+VLOOKUP(A31,Tabla3[],'Registro de Operaciones'!$J$6,FALSE))</f>
      </c>
      <c r="J31" s="96">
        <f>+IF(A31&gt;0,"N","")</f>
      </c>
      <c r="K31" s="95">
        <f>IF(A31=0,"",+VLOOKUP(A31,Tabla3[],'Registro de Operaciones'!$L$6,FALSE))</f>
      </c>
      <c r="L31" s="96">
        <f>+IF(A31&gt;0,"E","")</f>
      </c>
      <c r="M31" s="98">
        <f>IF(A31=0,"",+VLOOKUP(A31,Tabla3[],'Registro de Operaciones'!$E$6,FALSE))</f>
      </c>
      <c r="N31" s="95">
        <f>+IF(A31&gt;0,"Nayrut Flores","")</f>
      </c>
    </row>
    <row x14ac:dyDescent="0.25" r="32" customHeight="1" ht="18.75">
      <c r="A32" s="33">
        <f>+BD!AL11</f>
      </c>
      <c r="B32" s="94">
        <f>IF(A32=0,"",VLOOKUP(+VLOOKUP(A32,Tabla3[],'Registro de Operaciones'!$F$6,FALSE),DOI_Tipo,2,FALSE))</f>
      </c>
      <c r="C32" s="95">
        <f>IF(A32=0,"",+VLOOKUP(A32,Tabla3[#All],'Registro de Operaciones'!$G$6,FALSE))</f>
      </c>
      <c r="D32" s="99">
        <f>IF(A32=0,"",VLOOKUP(+VLOOKUP(A32,Tabla3[],'Registro de Operaciones'!$N$6,FALSE),Tipo_Abono,2,FALSE))</f>
        <v>25568.791666666668</v>
      </c>
      <c r="E32" s="95">
        <f>IF(A32=0,"",+VLOOKUP(A32,Tabla3[],'Registro de Operaciones'!$O$6,FALSE))</f>
      </c>
      <c r="F32" s="95">
        <f>IF(A32=0,"",+VLOOKUP(A32,Tabla3[],'Registro de Operaciones'!$H$6,FALSE))</f>
      </c>
      <c r="G32" s="97">
        <f>IF(A32=0,"",ROUND(+VLOOKUP(A32,Tabla3[],'Registro de Operaciones'!$U$6,FALSE),2))</f>
      </c>
      <c r="H32" s="96">
        <f>IF(A32=0,"",VLOOKUP(+VLOOKUP(A32,Tabla3[],'Registro de Operaciones'!$I$6,FALSE),Tipo_Recibo,2,FALSE))</f>
      </c>
      <c r="I32" s="95">
        <f>IF(A32=0,"",+VLOOKUP(A32,Tabla3[],'Registro de Operaciones'!$J$6,FALSE))</f>
      </c>
      <c r="J32" s="96">
        <f>+IF(A32&gt;0,"N","")</f>
      </c>
      <c r="K32" s="95">
        <f>IF(A32=0,"",+VLOOKUP(A32,Tabla3[],'Registro de Operaciones'!$L$6,FALSE))</f>
      </c>
      <c r="L32" s="96">
        <f>+IF(A32&gt;0,"E","")</f>
      </c>
      <c r="M32" s="98">
        <f>IF(A32=0,"",+VLOOKUP(A32,Tabla3[],'Registro de Operaciones'!$E$6,FALSE))</f>
      </c>
      <c r="N32" s="95">
        <f>+IF(A32&gt;0,"Nayrut Flores","")</f>
      </c>
    </row>
    <row x14ac:dyDescent="0.25" r="33" customHeight="1" ht="18.75">
      <c r="A33" s="33">
        <f>+BD!AL12</f>
      </c>
      <c r="B33" s="94">
        <f>IF(A33=0,"",VLOOKUP(+VLOOKUP(A33,Tabla3[],'Registro de Operaciones'!$F$6,FALSE),DOI_Tipo,2,FALSE))</f>
      </c>
      <c r="C33" s="95">
        <f>IF(A33=0,"",+VLOOKUP(A33,Tabla3[#All],'Registro de Operaciones'!$G$6,FALSE))</f>
      </c>
      <c r="D33" s="99">
        <f>IF(A33=0,"",VLOOKUP(+VLOOKUP(A33,Tabla3[],'Registro de Operaciones'!$N$6,FALSE),Tipo_Abono,2,FALSE))</f>
        <v>25568.791666666668</v>
      </c>
      <c r="E33" s="95">
        <f>IF(A33=0,"",+VLOOKUP(A33,Tabla3[],'Registro de Operaciones'!$O$6,FALSE))</f>
      </c>
      <c r="F33" s="95">
        <f>IF(A33=0,"",+VLOOKUP(A33,Tabla3[],'Registro de Operaciones'!$H$6,FALSE))</f>
      </c>
      <c r="G33" s="97">
        <f>IF(A33=0,"",ROUND(+VLOOKUP(A33,Tabla3[],'Registro de Operaciones'!$U$6,FALSE),2))</f>
      </c>
      <c r="H33" s="96">
        <f>IF(A33=0,"",VLOOKUP(+VLOOKUP(A33,Tabla3[],'Registro de Operaciones'!$I$6,FALSE),Tipo_Recibo,2,FALSE))</f>
      </c>
      <c r="I33" s="95">
        <f>IF(A33=0,"",+VLOOKUP(A33,Tabla3[],'Registro de Operaciones'!$J$6,FALSE))</f>
      </c>
      <c r="J33" s="96">
        <f>+IF(A33&gt;0,"N","")</f>
      </c>
      <c r="K33" s="95">
        <f>IF(A33=0,"",+VLOOKUP(A33,Tabla3[],'Registro de Operaciones'!$L$6,FALSE))</f>
      </c>
      <c r="L33" s="96">
        <f>+IF(A33&gt;0,"E","")</f>
      </c>
      <c r="M33" s="98">
        <f>IF(A33=0,"",+VLOOKUP(A33,Tabla3[],'Registro de Operaciones'!$E$6,FALSE))</f>
      </c>
      <c r="N33" s="95">
        <f>+IF(A33&gt;0,"Nayrut Flores","")</f>
      </c>
    </row>
    <row x14ac:dyDescent="0.25" r="34" customHeight="1" ht="18.75">
      <c r="A34" s="33">
        <f>+BD!AL13</f>
      </c>
      <c r="B34" s="94">
        <f>IF(A34=0,"",VLOOKUP(+VLOOKUP(A34,Tabla3[],'Registro de Operaciones'!$F$6,FALSE),DOI_Tipo,2,FALSE))</f>
      </c>
      <c r="C34" s="95">
        <f>IF(A34=0,"",+VLOOKUP(A34,Tabla3[#All],'Registro de Operaciones'!$G$6,FALSE))</f>
      </c>
      <c r="D34" s="99">
        <f>IF(A34=0,"",VLOOKUP(+VLOOKUP(A34,Tabla3[],'Registro de Operaciones'!$N$6,FALSE),Tipo_Abono,2,FALSE))</f>
        <v>25568.791666666668</v>
      </c>
      <c r="E34" s="95">
        <f>IF(A34=0,"",+VLOOKUP(A34,Tabla3[],'Registro de Operaciones'!$O$6,FALSE))</f>
      </c>
      <c r="F34" s="95">
        <f>IF(A34=0,"",+VLOOKUP(A34,Tabla3[],'Registro de Operaciones'!$H$6,FALSE))</f>
      </c>
      <c r="G34" s="97">
        <f>IF(A34=0,"",ROUND(+VLOOKUP(A34,Tabla3[],'Registro de Operaciones'!$U$6,FALSE),2))</f>
      </c>
      <c r="H34" s="96">
        <f>IF(A34=0,"",VLOOKUP(+VLOOKUP(A34,Tabla3[],'Registro de Operaciones'!$I$6,FALSE),Tipo_Recibo,2,FALSE))</f>
      </c>
      <c r="I34" s="95">
        <f>IF(A34=0,"",+VLOOKUP(A34,Tabla3[],'Registro de Operaciones'!$J$6,FALSE))</f>
      </c>
      <c r="J34" s="96">
        <f>+IF(A34&gt;0,"N","")</f>
      </c>
      <c r="K34" s="95">
        <f>IF(A34=0,"",+VLOOKUP(A34,Tabla3[],'Registro de Operaciones'!$L$6,FALSE))</f>
      </c>
      <c r="L34" s="96">
        <f>+IF(A34&gt;0,"E","")</f>
      </c>
      <c r="M34" s="98">
        <f>IF(A34=0,"",+VLOOKUP(A34,Tabla3[],'Registro de Operaciones'!$E$6,FALSE))</f>
      </c>
      <c r="N34" s="95">
        <f>+IF(A34&gt;0,"Nayrut Flores","")</f>
      </c>
    </row>
    <row x14ac:dyDescent="0.25" r="35" customHeight="1" ht="18.75">
      <c r="A35" s="33">
        <f>+BD!AL14</f>
      </c>
      <c r="B35" s="94">
        <f>IF(A35=0,"",VLOOKUP(+VLOOKUP(A35,Tabla3[],'Registro de Operaciones'!$F$6,FALSE),DOI_Tipo,2,FALSE))</f>
      </c>
      <c r="C35" s="95">
        <f>IF(A35=0,"",+VLOOKUP(A35,Tabla3[#All],'Registro de Operaciones'!$G$6,FALSE))</f>
      </c>
      <c r="D35" s="99">
        <f>IF(A35=0,"",VLOOKUP(+VLOOKUP(A35,Tabla3[],'Registro de Operaciones'!$N$6,FALSE),Tipo_Abono,2,FALSE))</f>
        <v>25568.791666666668</v>
      </c>
      <c r="E35" s="95">
        <f>IF(A35=0,"",+VLOOKUP(A35,Tabla3[],'Registro de Operaciones'!$O$6,FALSE))</f>
      </c>
      <c r="F35" s="95">
        <f>IF(A35=0,"",+VLOOKUP(A35,Tabla3[],'Registro de Operaciones'!$H$6,FALSE))</f>
      </c>
      <c r="G35" s="97">
        <f>IF(A35=0,"",ROUND(+VLOOKUP(A35,Tabla3[],'Registro de Operaciones'!$U$6,FALSE),2))</f>
      </c>
      <c r="H35" s="96">
        <f>IF(A35=0,"",VLOOKUP(+VLOOKUP(A35,Tabla3[],'Registro de Operaciones'!$I$6,FALSE),Tipo_Recibo,2,FALSE))</f>
      </c>
      <c r="I35" s="95">
        <f>IF(A35=0,"",+VLOOKUP(A35,Tabla3[],'Registro de Operaciones'!$J$6,FALSE))</f>
      </c>
      <c r="J35" s="96">
        <f>+IF(A35&gt;0,"N","")</f>
      </c>
      <c r="K35" s="95">
        <f>IF(A35=0,"",+VLOOKUP(A35,Tabla3[],'Registro de Operaciones'!$L$6,FALSE))</f>
      </c>
      <c r="L35" s="96">
        <f>+IF(A35&gt;0,"E","")</f>
      </c>
      <c r="M35" s="98">
        <f>IF(A35=0,"",+VLOOKUP(A35,Tabla3[],'Registro de Operaciones'!$E$6,FALSE))</f>
      </c>
      <c r="N35" s="95">
        <f>+IF(A35&gt;0,"Nayrut Flores","")</f>
      </c>
    </row>
    <row x14ac:dyDescent="0.25" r="36" customHeight="1" ht="18.75">
      <c r="A36" s="33">
        <f>+BD!AL15</f>
      </c>
      <c r="B36" s="94">
        <f>IF(A36=0,"",VLOOKUP(+VLOOKUP(A36,Tabla3[],'Registro de Operaciones'!$F$6,FALSE),DOI_Tipo,2,FALSE))</f>
      </c>
      <c r="C36" s="95">
        <f>IF(A36=0,"",+VLOOKUP(A36,Tabla3[#All],'Registro de Operaciones'!$G$6,FALSE))</f>
      </c>
      <c r="D36" s="99">
        <f>IF(A36=0,"",VLOOKUP(+VLOOKUP(A36,Tabla3[],'Registro de Operaciones'!$N$6,FALSE),Tipo_Abono,2,FALSE))</f>
        <v>25568.791666666668</v>
      </c>
      <c r="E36" s="95">
        <f>IF(A36=0,"",+VLOOKUP(A36,Tabla3[],'Registro de Operaciones'!$O$6,FALSE))</f>
      </c>
      <c r="F36" s="95">
        <f>IF(A36=0,"",+VLOOKUP(A36,Tabla3[],'Registro de Operaciones'!$H$6,FALSE))</f>
      </c>
      <c r="G36" s="97">
        <f>IF(A36=0,"",ROUND(+VLOOKUP(A36,Tabla3[],'Registro de Operaciones'!$U$6,FALSE),2))</f>
      </c>
      <c r="H36" s="96">
        <f>IF(A36=0,"",VLOOKUP(+VLOOKUP(A36,Tabla3[],'Registro de Operaciones'!$I$6,FALSE),Tipo_Recibo,2,FALSE))</f>
      </c>
      <c r="I36" s="95">
        <f>IF(A36=0,"",+VLOOKUP(A36,Tabla3[],'Registro de Operaciones'!$J$6,FALSE))</f>
      </c>
      <c r="J36" s="96">
        <f>+IF(A36&gt;0,"N","")</f>
      </c>
      <c r="K36" s="95">
        <f>IF(A36=0,"",+VLOOKUP(A36,Tabla3[],'Registro de Operaciones'!$L$6,FALSE))</f>
      </c>
      <c r="L36" s="96">
        <f>+IF(A36&gt;0,"E","")</f>
      </c>
      <c r="M36" s="98">
        <f>IF(A36=0,"",+VLOOKUP(A36,Tabla3[],'Registro de Operaciones'!$E$6,FALSE))</f>
      </c>
      <c r="N36" s="95">
        <f>+IF(A36&gt;0,"Nayrut Flores","")</f>
      </c>
    </row>
    <row x14ac:dyDescent="0.25" r="37" customHeight="1" ht="18.75">
      <c r="A37" s="33">
        <f>+BD!AL16</f>
      </c>
      <c r="B37" s="94">
        <f>IF(A37=0,"",VLOOKUP(+VLOOKUP(A37,Tabla3[],'Registro de Operaciones'!$F$6,FALSE),DOI_Tipo,2,FALSE))</f>
      </c>
      <c r="C37" s="95">
        <f>IF(A37=0,"",+VLOOKUP(A37,Tabla3[#All],'Registro de Operaciones'!$G$6,FALSE))</f>
      </c>
      <c r="D37" s="99">
        <f>IF(A37=0,"",VLOOKUP(+VLOOKUP(A37,Tabla3[],'Registro de Operaciones'!$N$6,FALSE),Tipo_Abono,2,FALSE))</f>
        <v>25568.791666666668</v>
      </c>
      <c r="E37" s="95">
        <f>IF(A37=0,"",+VLOOKUP(A37,Tabla3[],'Registro de Operaciones'!$O$6,FALSE))</f>
      </c>
      <c r="F37" s="95">
        <f>IF(A37=0,"",+VLOOKUP(A37,Tabla3[],'Registro de Operaciones'!$H$6,FALSE))</f>
      </c>
      <c r="G37" s="97">
        <f>IF(A37=0,"",ROUND(+VLOOKUP(A37,Tabla3[],'Registro de Operaciones'!$U$6,FALSE),2))</f>
      </c>
      <c r="H37" s="96">
        <f>IF(A37=0,"",VLOOKUP(+VLOOKUP(A37,Tabla3[],'Registro de Operaciones'!$I$6,FALSE),Tipo_Recibo,2,FALSE))</f>
      </c>
      <c r="I37" s="95">
        <f>IF(A37=0,"",+VLOOKUP(A37,Tabla3[],'Registro de Operaciones'!$J$6,FALSE))</f>
      </c>
      <c r="J37" s="96">
        <f>+IF(A37&gt;0,"N","")</f>
      </c>
      <c r="K37" s="95">
        <f>IF(A37=0,"",+VLOOKUP(A37,Tabla3[],'Registro de Operaciones'!$L$6,FALSE))</f>
      </c>
      <c r="L37" s="96">
        <f>+IF(A37&gt;0,"E","")</f>
      </c>
      <c r="M37" s="98">
        <f>IF(A37=0,"",+VLOOKUP(A37,Tabla3[],'Registro de Operaciones'!$E$6,FALSE))</f>
      </c>
      <c r="N37" s="95">
        <f>+IF(A37&gt;0,"Nayrut Flores","")</f>
      </c>
    </row>
    <row x14ac:dyDescent="0.25" r="38" customHeight="1" ht="18.75">
      <c r="A38" s="33">
        <f>+BD!AL17</f>
      </c>
      <c r="B38" s="94">
        <f>IF(A38=0,"",VLOOKUP(+VLOOKUP(A38,Tabla3[],'Registro de Operaciones'!$F$6,FALSE),DOI_Tipo,2,FALSE))</f>
      </c>
      <c r="C38" s="95">
        <f>IF(A38=0,"",+VLOOKUP(A38,Tabla3[#All],'Registro de Operaciones'!$G$6,FALSE))</f>
      </c>
      <c r="D38" s="99">
        <f>IF(A38=0,"",VLOOKUP(+VLOOKUP(A38,Tabla3[],'Registro de Operaciones'!$N$6,FALSE),Tipo_Abono,2,FALSE))</f>
        <v>25568.791666666668</v>
      </c>
      <c r="E38" s="95">
        <f>IF(A38=0,"",+VLOOKUP(A38,Tabla3[],'Registro de Operaciones'!$O$6,FALSE))</f>
      </c>
      <c r="F38" s="95">
        <f>IF(A38=0,"",+VLOOKUP(A38,Tabla3[],'Registro de Operaciones'!$H$6,FALSE))</f>
      </c>
      <c r="G38" s="97">
        <f>IF(A38=0,"",ROUND(+VLOOKUP(A38,Tabla3[],'Registro de Operaciones'!$U$6,FALSE),2))</f>
      </c>
      <c r="H38" s="96">
        <f>IF(A38=0,"",VLOOKUP(+VLOOKUP(A38,Tabla3[],'Registro de Operaciones'!$I$6,FALSE),Tipo_Recibo,2,FALSE))</f>
      </c>
      <c r="I38" s="95">
        <f>IF(A38=0,"",+VLOOKUP(A38,Tabla3[],'Registro de Operaciones'!$J$6,FALSE))</f>
      </c>
      <c r="J38" s="96">
        <f>+IF(A38&gt;0,"N","")</f>
      </c>
      <c r="K38" s="95">
        <f>IF(A38=0,"",+VLOOKUP(A38,Tabla3[],'Registro de Operaciones'!$L$6,FALSE))</f>
      </c>
      <c r="L38" s="96">
        <f>+IF(A38&gt;0,"E","")</f>
      </c>
      <c r="M38" s="98">
        <f>IF(A38=0,"",+VLOOKUP(A38,Tabla3[],'Registro de Operaciones'!$E$6,FALSE))</f>
      </c>
      <c r="N38" s="95">
        <f>+IF(A38&gt;0,"Nayrut Flores","")</f>
      </c>
    </row>
    <row x14ac:dyDescent="0.25" r="39" customHeight="1" ht="18.75">
      <c r="A39" s="33">
        <f>+BD!AL18</f>
      </c>
      <c r="B39" s="94">
        <f>IF(A39=0,"",VLOOKUP(+VLOOKUP(A39,Tabla3[],'Registro de Operaciones'!$F$6,FALSE),DOI_Tipo,2,FALSE))</f>
      </c>
      <c r="C39" s="95">
        <f>IF(A39=0,"",+VLOOKUP(A39,Tabla3[#All],'Registro de Operaciones'!$G$6,FALSE))</f>
      </c>
      <c r="D39" s="99">
        <f>IF(A39=0,"",VLOOKUP(+VLOOKUP(A39,Tabla3[],'Registro de Operaciones'!$N$6,FALSE),Tipo_Abono,2,FALSE))</f>
        <v>25568.791666666668</v>
      </c>
      <c r="E39" s="95">
        <f>IF(A39=0,"",+VLOOKUP(A39,Tabla3[],'Registro de Operaciones'!$O$6,FALSE))</f>
      </c>
      <c r="F39" s="95">
        <f>IF(A39=0,"",+VLOOKUP(A39,Tabla3[],'Registro de Operaciones'!$H$6,FALSE))</f>
      </c>
      <c r="G39" s="97">
        <f>IF(A39=0,"",ROUND(+VLOOKUP(A39,Tabla3[],'Registro de Operaciones'!$U$6,FALSE),2))</f>
      </c>
      <c r="H39" s="96">
        <f>IF(A39=0,"",VLOOKUP(+VLOOKUP(A39,Tabla3[],'Registro de Operaciones'!$I$6,FALSE),Tipo_Recibo,2,FALSE))</f>
      </c>
      <c r="I39" s="95">
        <f>IF(A39=0,"",+VLOOKUP(A39,Tabla3[],'Registro de Operaciones'!$J$6,FALSE))</f>
      </c>
      <c r="J39" s="96">
        <f>+IF(A39&gt;0,"N","")</f>
      </c>
      <c r="K39" s="95">
        <f>IF(A39=0,"",+VLOOKUP(A39,Tabla3[],'Registro de Operaciones'!$L$6,FALSE))</f>
      </c>
      <c r="L39" s="96">
        <f>+IF(A39&gt;0,"E","")</f>
      </c>
      <c r="M39" s="98">
        <f>IF(A39=0,"",+VLOOKUP(A39,Tabla3[],'Registro de Operaciones'!$E$6,FALSE))</f>
      </c>
      <c r="N39" s="95">
        <f>+IF(A39&gt;0,"Nayrut Flores","")</f>
      </c>
    </row>
    <row x14ac:dyDescent="0.25" r="40" customHeight="1" ht="18.75">
      <c r="A40" s="33">
        <f>+BD!AL19</f>
      </c>
      <c r="B40" s="94">
        <f>IF(A40=0,"",VLOOKUP(+VLOOKUP(A40,Tabla3[],'Registro de Operaciones'!$F$6,FALSE),DOI_Tipo,2,FALSE))</f>
      </c>
      <c r="C40" s="95">
        <f>IF(A40=0,"",+VLOOKUP(A40,Tabla3[#All],'Registro de Operaciones'!$G$6,FALSE))</f>
      </c>
      <c r="D40" s="99">
        <f>IF(A40=0,"",VLOOKUP(+VLOOKUP(A40,Tabla3[],'Registro de Operaciones'!$N$6,FALSE),Tipo_Abono,2,FALSE))</f>
        <v>25568.791666666668</v>
      </c>
      <c r="E40" s="95">
        <f>IF(A40=0,"",+VLOOKUP(A40,Tabla3[],'Registro de Operaciones'!$O$6,FALSE))</f>
      </c>
      <c r="F40" s="95">
        <f>IF(A40=0,"",+VLOOKUP(A40,Tabla3[],'Registro de Operaciones'!$H$6,FALSE))</f>
      </c>
      <c r="G40" s="97">
        <f>IF(A40=0,"",ROUND(+VLOOKUP(A40,Tabla3[],'Registro de Operaciones'!$U$6,FALSE),2))</f>
      </c>
      <c r="H40" s="96">
        <f>IF(A40=0,"",VLOOKUP(+VLOOKUP(A40,Tabla3[],'Registro de Operaciones'!$I$6,FALSE),Tipo_Recibo,2,FALSE))</f>
      </c>
      <c r="I40" s="95">
        <f>IF(A40=0,"",+VLOOKUP(A40,Tabla3[],'Registro de Operaciones'!$J$6,FALSE))</f>
      </c>
      <c r="J40" s="96">
        <f>+IF(A40&gt;0,"N","")</f>
      </c>
      <c r="K40" s="95">
        <f>IF(A40=0,"",+VLOOKUP(A40,Tabla3[],'Registro de Operaciones'!$L$6,FALSE))</f>
      </c>
      <c r="L40" s="96">
        <f>+IF(A40&gt;0,"E","")</f>
      </c>
      <c r="M40" s="98">
        <f>IF(A40=0,"",+VLOOKUP(A40,Tabla3[],'Registro de Operaciones'!$E$6,FALSE))</f>
      </c>
      <c r="N40" s="95">
        <f>+IF(A40&gt;0,"Nayrut Flores","")</f>
      </c>
    </row>
    <row x14ac:dyDescent="0.25" r="41" customHeight="1" ht="18.75">
      <c r="A41" s="33">
        <f>+BD!AL20</f>
      </c>
      <c r="B41" s="94">
        <f>IF(A41=0,"",VLOOKUP(+VLOOKUP(A41,Tabla3[],'Registro de Operaciones'!$F$6,FALSE),DOI_Tipo,2,FALSE))</f>
      </c>
      <c r="C41" s="95">
        <f>IF(A41=0,"",+VLOOKUP(A41,Tabla3[#All],'Registro de Operaciones'!$G$6,FALSE))</f>
      </c>
      <c r="D41" s="99">
        <f>IF(A41=0,"",VLOOKUP(+VLOOKUP(A41,Tabla3[],'Registro de Operaciones'!$N$6,FALSE),Tipo_Abono,2,FALSE))</f>
        <v>25568.791666666668</v>
      </c>
      <c r="E41" s="95">
        <f>IF(A41=0,"",+VLOOKUP(A41,Tabla3[],'Registro de Operaciones'!$O$6,FALSE))</f>
      </c>
      <c r="F41" s="95">
        <f>IF(A41=0,"",+VLOOKUP(A41,Tabla3[],'Registro de Operaciones'!$H$6,FALSE))</f>
      </c>
      <c r="G41" s="97">
        <f>IF(A41=0,"",ROUND(+VLOOKUP(A41,Tabla3[],'Registro de Operaciones'!$U$6,FALSE),2))</f>
      </c>
      <c r="H41" s="96">
        <f>IF(A41=0,"",VLOOKUP(+VLOOKUP(A41,Tabla3[],'Registro de Operaciones'!$I$6,FALSE),Tipo_Recibo,2,FALSE))</f>
      </c>
      <c r="I41" s="95">
        <f>IF(A41=0,"",+VLOOKUP(A41,Tabla3[],'Registro de Operaciones'!$J$6,FALSE))</f>
      </c>
      <c r="J41" s="96">
        <f>+IF(A41&gt;0,"N","")</f>
      </c>
      <c r="K41" s="95">
        <f>IF(A41=0,"",+VLOOKUP(A41,Tabla3[],'Registro de Operaciones'!$L$6,FALSE))</f>
      </c>
      <c r="L41" s="96">
        <f>+IF(A41&gt;0,"E","")</f>
      </c>
      <c r="M41" s="98">
        <f>IF(A41=0,"",+VLOOKUP(A41,Tabla3[],'Registro de Operaciones'!$E$6,FALSE))</f>
      </c>
      <c r="N41" s="95">
        <f>+IF(A41&gt;0,"Nayrut Flores","")</f>
      </c>
    </row>
    <row x14ac:dyDescent="0.25" r="42" customHeight="1" ht="18.75">
      <c r="A42" s="33">
        <f>+BD!AL21</f>
      </c>
      <c r="B42" s="94">
        <f>IF(A42=0,"",VLOOKUP(+VLOOKUP(A42,Tabla3[],'Registro de Operaciones'!$F$6,FALSE),DOI_Tipo,2,FALSE))</f>
      </c>
      <c r="C42" s="95">
        <f>IF(A42=0,"",+VLOOKUP(A42,Tabla3[#All],'Registro de Operaciones'!$G$6,FALSE))</f>
      </c>
      <c r="D42" s="99">
        <f>IF(A42=0,"",VLOOKUP(+VLOOKUP(A42,Tabla3[],'Registro de Operaciones'!$N$6,FALSE),Tipo_Abono,2,FALSE))</f>
        <v>25568.791666666668</v>
      </c>
      <c r="E42" s="95">
        <f>IF(A42=0,"",+VLOOKUP(A42,Tabla3[],'Registro de Operaciones'!$O$6,FALSE))</f>
      </c>
      <c r="F42" s="95">
        <f>IF(A42=0,"",+VLOOKUP(A42,Tabla3[],'Registro de Operaciones'!$H$6,FALSE))</f>
      </c>
      <c r="G42" s="97">
        <f>IF(A42=0,"",ROUND(+VLOOKUP(A42,Tabla3[],'Registro de Operaciones'!$U$6,FALSE),2))</f>
      </c>
      <c r="H42" s="96">
        <f>IF(A42=0,"",VLOOKUP(+VLOOKUP(A42,Tabla3[],'Registro de Operaciones'!$I$6,FALSE),Tipo_Recibo,2,FALSE))</f>
      </c>
      <c r="I42" s="95">
        <f>IF(A42=0,"",+VLOOKUP(A42,Tabla3[],'Registro de Operaciones'!$J$6,FALSE))</f>
      </c>
      <c r="J42" s="96">
        <f>+IF(A42&gt;0,"N","")</f>
      </c>
      <c r="K42" s="95">
        <f>IF(A42=0,"",+VLOOKUP(A42,Tabla3[],'Registro de Operaciones'!$L$6,FALSE))</f>
      </c>
      <c r="L42" s="96">
        <f>+IF(A42&gt;0,"E","")</f>
      </c>
      <c r="M42" s="98">
        <f>IF(A42=0,"",+VLOOKUP(A42,Tabla3[],'Registro de Operaciones'!$E$6,FALSE))</f>
      </c>
      <c r="N42" s="95">
        <f>+IF(A42&gt;0,"Nayrut Flores","")</f>
      </c>
    </row>
    <row x14ac:dyDescent="0.25" r="43" customHeight="1" ht="18.75">
      <c r="A43" s="33">
        <f>+BD!AL22</f>
      </c>
      <c r="B43" s="94">
        <f>IF(A43=0,"",VLOOKUP(+VLOOKUP(A43,Tabla3[],'Registro de Operaciones'!$F$6,FALSE),DOI_Tipo,2,FALSE))</f>
      </c>
      <c r="C43" s="95">
        <f>IF(A43=0,"",+VLOOKUP(A43,Tabla3[#All],'Registro de Operaciones'!$G$6,FALSE))</f>
      </c>
      <c r="D43" s="99">
        <f>IF(A43=0,"",VLOOKUP(+VLOOKUP(A43,Tabla3[],'Registro de Operaciones'!$N$6,FALSE),Tipo_Abono,2,FALSE))</f>
        <v>25568.791666666668</v>
      </c>
      <c r="E43" s="95">
        <f>IF(A43=0,"",+VLOOKUP(A43,Tabla3[],'Registro de Operaciones'!$O$6,FALSE))</f>
      </c>
      <c r="F43" s="95">
        <f>IF(A43=0,"",+VLOOKUP(A43,Tabla3[],'Registro de Operaciones'!$H$6,FALSE))</f>
      </c>
      <c r="G43" s="97">
        <f>IF(A43=0,"",ROUND(+VLOOKUP(A43,Tabla3[],'Registro de Operaciones'!$U$6,FALSE),2))</f>
      </c>
      <c r="H43" s="96">
        <f>IF(A43=0,"",VLOOKUP(+VLOOKUP(A43,Tabla3[],'Registro de Operaciones'!$I$6,FALSE),Tipo_Recibo,2,FALSE))</f>
      </c>
      <c r="I43" s="95">
        <f>IF(A43=0,"",+VLOOKUP(A43,Tabla3[],'Registro de Operaciones'!$J$6,FALSE))</f>
      </c>
      <c r="J43" s="96">
        <f>+IF(A43&gt;0,"N","")</f>
      </c>
      <c r="K43" s="95">
        <f>IF(A43=0,"",+VLOOKUP(A43,Tabla3[],'Registro de Operaciones'!$L$6,FALSE))</f>
      </c>
      <c r="L43" s="96">
        <f>+IF(A43&gt;0,"E","")</f>
      </c>
      <c r="M43" s="98">
        <f>IF(A43=0,"",+VLOOKUP(A43,Tabla3[],'Registro de Operaciones'!$E$6,FALSE))</f>
      </c>
      <c r="N43" s="95">
        <f>+IF(A43&gt;0,"Nayrut Flores","")</f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P317"/>
  <sheetViews>
    <sheetView workbookViewId="0"/>
  </sheetViews>
  <sheetFormatPr defaultRowHeight="15" x14ac:dyDescent="0.25"/>
  <cols>
    <col min="1" max="1" style="83" width="11.43357142857143" customWidth="1" bestFit="1"/>
    <col min="2" max="2" style="84" width="23.862142857142857" customWidth="1" bestFit="1"/>
    <col min="3" max="3" style="5" width="55.43357142857143" customWidth="1" bestFit="1"/>
    <col min="4" max="4" style="5" width="18.14785714285714" customWidth="1" bestFit="1"/>
    <col min="5" max="5" style="85" width="29.005" customWidth="1" bestFit="1"/>
    <col min="6" max="6" style="86" width="12.576428571428572" customWidth="1" bestFit="1"/>
    <col min="7" max="7" style="5" width="2.7192857142857143" customWidth="1" bestFit="1"/>
    <col min="8" max="8" style="5" width="24.433571428571426" customWidth="1" bestFit="1"/>
    <col min="9" max="9" style="5" width="13.862142857142858" customWidth="1" bestFit="1"/>
    <col min="10" max="10" style="5" width="19.14785714285714" customWidth="1" bestFit="1"/>
    <col min="11" max="11" style="5" width="26.433571428571426" customWidth="1" bestFit="1"/>
    <col min="12" max="12" style="5" width="11.43357142857143" customWidth="1" bestFit="1"/>
    <col min="13" max="13" style="87" width="11.43357142857143" customWidth="1" bestFit="1"/>
    <col min="14" max="14" style="5" width="71.29071428571429" customWidth="1" bestFit="1"/>
    <col min="15" max="15" style="5" width="28.14785714285714" customWidth="1" bestFit="1"/>
    <col min="16" max="16" style="5" width="11.43357142857143" customWidth="1" bestFit="1"/>
    <col min="17" max="17" style="87" width="26.433571428571426" customWidth="1" bestFit="1"/>
    <col min="18" max="18" style="5" width="29.14785714285714" customWidth="1" bestFit="1"/>
    <col min="19" max="19" style="5" width="11.43357142857143" customWidth="1" bestFit="1"/>
    <col min="20" max="20" style="5" width="15.43357142857143" customWidth="1" bestFit="1"/>
    <col min="21" max="21" style="5" width="2.862142857142857" customWidth="1" bestFit="1"/>
    <col min="22" max="22" style="5" width="11.43357142857143" customWidth="1" bestFit="1"/>
    <col min="23" max="23" style="5" width="11.43357142857143" customWidth="1" bestFit="1"/>
    <col min="24" max="24" style="5" width="11.43357142857143" customWidth="1" bestFit="1"/>
    <col min="25" max="25" style="5" width="11.43357142857143" customWidth="1" bestFit="1"/>
    <col min="26" max="26" style="5" width="11.43357142857143" customWidth="1" bestFit="1"/>
    <col min="27" max="27" style="87" width="31.14785714285714" customWidth="1" bestFit="1"/>
    <col min="28" max="28" style="87" width="16.433571428571426" customWidth="1" bestFit="1"/>
    <col min="29" max="29" style="5" width="11.43357142857143" customWidth="1" bestFit="1"/>
    <col min="30" max="30" style="5" width="11.43357142857143" customWidth="1" bestFit="1"/>
    <col min="31" max="31" style="87" width="31.14785714285714" customWidth="1" bestFit="1"/>
    <col min="32" max="32" style="87" width="16.433571428571426" customWidth="1" bestFit="1"/>
    <col min="33" max="33" style="5" width="11.43357142857143" customWidth="1" bestFit="1"/>
    <col min="34" max="34" style="87" width="31.14785714285714" customWidth="1" bestFit="1"/>
    <col min="35" max="35" style="87" width="28.14785714285714" customWidth="1" bestFit="1"/>
    <col min="36" max="36" style="5" width="11.43357142857143" customWidth="1" bestFit="1"/>
    <col min="37" max="37" style="5" width="11.43357142857143" customWidth="1" bestFit="1"/>
    <col min="38" max="38" style="87" width="31.14785714285714" customWidth="1" bestFit="1"/>
    <col min="39" max="39" style="87" width="28.14785714285714" customWidth="1" bestFit="1"/>
    <col min="40" max="40" style="5" width="13.576428571428572" customWidth="1" bestFit="1"/>
    <col min="41" max="41" style="5" width="13.576428571428572" customWidth="1" bestFit="1"/>
    <col min="42" max="42" style="5" width="13.576428571428572" customWidth="1" bestFit="1"/>
  </cols>
  <sheetData>
    <row x14ac:dyDescent="0.25" r="1" customHeight="1" ht="18.75">
      <c r="A1" s="7"/>
      <c r="B1" s="8"/>
      <c r="C1" s="1"/>
      <c r="D1" s="1"/>
      <c r="E1" s="9"/>
      <c r="F1" s="10"/>
      <c r="G1" s="1"/>
      <c r="H1" s="1"/>
      <c r="I1" s="1"/>
      <c r="J1" s="1"/>
      <c r="K1" s="1"/>
      <c r="L1" s="1"/>
      <c r="M1" s="11"/>
      <c r="N1" s="1"/>
      <c r="O1" s="1"/>
      <c r="P1" s="1"/>
      <c r="Q1" s="11"/>
      <c r="R1" s="1"/>
      <c r="S1" s="1"/>
      <c r="T1" s="1"/>
      <c r="U1" s="1"/>
      <c r="V1" s="1"/>
      <c r="W1" s="1"/>
      <c r="X1" s="1"/>
      <c r="Y1" s="1"/>
      <c r="Z1" s="1"/>
      <c r="AA1" s="11" t="s">
        <v>122</v>
      </c>
      <c r="AB1" s="11" t="s">
        <v>123</v>
      </c>
      <c r="AC1" s="1"/>
      <c r="AD1" s="1"/>
      <c r="AE1" s="11" t="s">
        <v>122</v>
      </c>
      <c r="AF1" s="11" t="s">
        <v>123</v>
      </c>
      <c r="AG1" s="1"/>
      <c r="AH1" s="11" t="s">
        <v>122</v>
      </c>
      <c r="AI1" s="11" t="s">
        <v>124</v>
      </c>
      <c r="AJ1" s="1"/>
      <c r="AK1" s="1"/>
      <c r="AL1" s="11" t="s">
        <v>122</v>
      </c>
      <c r="AM1" s="11" t="s">
        <v>124</v>
      </c>
      <c r="AN1" s="1"/>
      <c r="AO1" s="1"/>
      <c r="AP1" s="1"/>
    </row>
    <row x14ac:dyDescent="0.25" r="2" customHeight="1" ht="18.75">
      <c r="A2" s="7"/>
      <c r="B2" s="12" t="s">
        <v>125</v>
      </c>
      <c r="C2" s="1"/>
      <c r="D2" s="1"/>
      <c r="E2" s="9"/>
      <c r="F2" s="10"/>
      <c r="G2" s="1"/>
      <c r="H2" s="1"/>
      <c r="I2" s="1"/>
      <c r="J2" s="1"/>
      <c r="K2" s="1"/>
      <c r="L2" s="1"/>
      <c r="M2" s="11"/>
      <c r="N2" s="1"/>
      <c r="O2" s="1"/>
      <c r="P2" s="1"/>
      <c r="Q2" s="11"/>
      <c r="R2" s="1"/>
      <c r="S2" s="1"/>
      <c r="T2" s="1"/>
      <c r="U2" s="1"/>
      <c r="V2" s="1"/>
      <c r="W2" s="1"/>
      <c r="X2" s="1"/>
      <c r="Y2" s="1"/>
      <c r="Z2" s="1"/>
      <c r="AA2" s="11" t="s">
        <v>126</v>
      </c>
      <c r="AB2" s="11" t="s">
        <v>127</v>
      </c>
      <c r="AC2" s="1"/>
      <c r="AD2" s="1"/>
      <c r="AE2" s="11" t="s">
        <v>126</v>
      </c>
      <c r="AF2" s="11" t="s">
        <v>128</v>
      </c>
      <c r="AG2" s="1"/>
      <c r="AH2" s="11" t="s">
        <v>126</v>
      </c>
      <c r="AI2" s="11" t="s">
        <v>127</v>
      </c>
      <c r="AJ2" s="1"/>
      <c r="AK2" s="1"/>
      <c r="AL2" s="11" t="s">
        <v>126</v>
      </c>
      <c r="AM2" s="11" t="s">
        <v>128</v>
      </c>
      <c r="AN2" s="1"/>
      <c r="AO2" s="1"/>
      <c r="AP2" s="13" t="s">
        <v>129</v>
      </c>
    </row>
    <row x14ac:dyDescent="0.25" r="3" customHeight="1" ht="18.75">
      <c r="A3" s="7"/>
      <c r="B3" s="14" t="s">
        <v>130</v>
      </c>
      <c r="C3" s="15" t="s">
        <v>131</v>
      </c>
      <c r="D3" s="16" t="s">
        <v>132</v>
      </c>
      <c r="E3" s="17" t="s">
        <v>133</v>
      </c>
      <c r="F3" s="15" t="s">
        <v>126</v>
      </c>
      <c r="G3" s="1"/>
      <c r="H3" s="1"/>
      <c r="I3" s="1"/>
      <c r="J3" s="1"/>
      <c r="K3" s="1"/>
      <c r="L3" s="1"/>
      <c r="M3" s="11"/>
      <c r="N3" s="1"/>
      <c r="O3" s="1"/>
      <c r="P3" s="1"/>
      <c r="Q3" s="18" t="s">
        <v>134</v>
      </c>
      <c r="R3" s="1"/>
      <c r="S3" s="1"/>
      <c r="T3" s="1"/>
      <c r="U3" s="1"/>
      <c r="V3" s="1"/>
      <c r="W3" s="1"/>
      <c r="X3" s="1"/>
      <c r="Y3" s="1"/>
      <c r="Z3" s="1"/>
      <c r="AA3" s="11"/>
      <c r="AB3" s="11"/>
      <c r="AC3" s="1"/>
      <c r="AD3" s="1"/>
      <c r="AE3" s="11"/>
      <c r="AF3" s="11"/>
      <c r="AG3" s="1"/>
      <c r="AH3" s="11"/>
      <c r="AI3" s="11"/>
      <c r="AJ3" s="1"/>
      <c r="AK3" s="1"/>
      <c r="AL3" s="11"/>
      <c r="AM3" s="11"/>
      <c r="AN3" s="1"/>
      <c r="AO3" s="1"/>
      <c r="AP3" s="1"/>
    </row>
    <row x14ac:dyDescent="0.25" r="4" customHeight="1" ht="18.75">
      <c r="A4" s="19">
        <f>+LEN(E4)</f>
      </c>
      <c r="B4" s="20" t="s">
        <v>135</v>
      </c>
      <c r="C4" s="21" t="s">
        <v>136</v>
      </c>
      <c r="D4" s="21" t="s">
        <v>137</v>
      </c>
      <c r="E4" s="22" t="s">
        <v>138</v>
      </c>
      <c r="F4" s="23" t="s">
        <v>127</v>
      </c>
      <c r="G4" s="1"/>
      <c r="H4" s="1"/>
      <c r="I4" s="1"/>
      <c r="J4" s="1"/>
      <c r="K4" s="1"/>
      <c r="L4" s="1"/>
      <c r="M4" s="18" t="s">
        <v>139</v>
      </c>
      <c r="N4" s="13" t="s">
        <v>140</v>
      </c>
      <c r="O4" s="1"/>
      <c r="P4" s="1"/>
      <c r="Q4" s="24">
        <v>1</v>
      </c>
      <c r="R4" s="25" t="s">
        <v>141</v>
      </c>
      <c r="S4" s="26" t="s">
        <v>142</v>
      </c>
      <c r="T4" s="1"/>
      <c r="U4" s="1"/>
      <c r="V4" s="1"/>
      <c r="W4" s="1"/>
      <c r="X4" s="1"/>
      <c r="Y4" s="1"/>
      <c r="Z4" s="1"/>
      <c r="AA4" s="11" t="s">
        <v>143</v>
      </c>
      <c r="AB4" s="11" t="s">
        <v>144</v>
      </c>
      <c r="AC4" s="1"/>
      <c r="AD4" s="1"/>
      <c r="AE4" s="11" t="s">
        <v>143</v>
      </c>
      <c r="AF4" s="11" t="s">
        <v>144</v>
      </c>
      <c r="AG4" s="1"/>
      <c r="AH4" s="11" t="s">
        <v>143</v>
      </c>
      <c r="AI4" s="11" t="s">
        <v>144</v>
      </c>
      <c r="AJ4" s="1"/>
      <c r="AK4" s="1"/>
      <c r="AL4" s="11" t="s">
        <v>143</v>
      </c>
      <c r="AM4" s="11" t="s">
        <v>144</v>
      </c>
      <c r="AN4" s="1"/>
      <c r="AO4" s="1"/>
      <c r="AP4" s="1"/>
    </row>
    <row x14ac:dyDescent="0.25" r="5" customHeight="1" ht="18.75">
      <c r="A5" s="19">
        <f>+LEN(E5)</f>
      </c>
      <c r="B5" s="20" t="s">
        <v>145</v>
      </c>
      <c r="C5" s="21" t="s">
        <v>146</v>
      </c>
      <c r="D5" s="21" t="s">
        <v>137</v>
      </c>
      <c r="E5" s="22" t="s">
        <v>147</v>
      </c>
      <c r="F5" s="23" t="s">
        <v>127</v>
      </c>
      <c r="G5" s="1"/>
      <c r="H5" s="1"/>
      <c r="I5" s="1"/>
      <c r="J5" s="1"/>
      <c r="K5" s="1"/>
      <c r="L5" s="1"/>
      <c r="M5" s="27">
        <v>10001</v>
      </c>
      <c r="N5" s="28" t="s">
        <v>148</v>
      </c>
      <c r="O5" s="1"/>
      <c r="P5" s="1"/>
      <c r="Q5" s="29">
        <v>2</v>
      </c>
      <c r="R5" s="30" t="s">
        <v>149</v>
      </c>
      <c r="S5" s="31" t="s">
        <v>150</v>
      </c>
      <c r="T5" s="1"/>
      <c r="U5" s="1"/>
      <c r="V5" s="1"/>
      <c r="W5" s="1"/>
      <c r="X5" s="1"/>
      <c r="Y5" s="1"/>
      <c r="Z5" s="1"/>
      <c r="AA5" s="32">
        <v>67</v>
      </c>
      <c r="AB5" s="33">
        <v>67</v>
      </c>
      <c r="AC5" s="1"/>
      <c r="AD5" s="1"/>
      <c r="AE5" s="32">
        <v>2</v>
      </c>
      <c r="AF5" s="33">
        <v>2</v>
      </c>
      <c r="AG5" s="1"/>
      <c r="AH5" s="32">
        <v>5</v>
      </c>
      <c r="AI5" s="33">
        <v>5</v>
      </c>
      <c r="AJ5" s="1"/>
      <c r="AK5" s="1"/>
      <c r="AL5" s="32">
        <v>16</v>
      </c>
      <c r="AM5" s="33">
        <v>16</v>
      </c>
      <c r="AN5" s="1"/>
      <c r="AO5" s="1"/>
      <c r="AP5" s="1"/>
    </row>
    <row x14ac:dyDescent="0.25" r="6" customHeight="1" ht="18.75">
      <c r="A6" s="19">
        <f>+LEN(E6)</f>
      </c>
      <c r="B6" s="20" t="s">
        <v>151</v>
      </c>
      <c r="C6" s="21" t="s">
        <v>152</v>
      </c>
      <c r="D6" s="21" t="s">
        <v>137</v>
      </c>
      <c r="E6" s="22" t="s">
        <v>153</v>
      </c>
      <c r="F6" s="23" t="s">
        <v>127</v>
      </c>
      <c r="G6" s="1"/>
      <c r="H6" s="1"/>
      <c r="I6" s="1"/>
      <c r="J6" s="1"/>
      <c r="K6" s="1"/>
      <c r="L6" s="1"/>
      <c r="M6" s="34">
        <v>20001</v>
      </c>
      <c r="N6" s="35" t="s">
        <v>154</v>
      </c>
      <c r="O6" s="1"/>
      <c r="P6" s="1"/>
      <c r="Q6" s="29">
        <v>3</v>
      </c>
      <c r="R6" s="30" t="s">
        <v>155</v>
      </c>
      <c r="S6" s="31" t="s">
        <v>156</v>
      </c>
      <c r="T6" s="1"/>
      <c r="U6" s="1"/>
      <c r="V6" s="1"/>
      <c r="W6" s="1"/>
      <c r="X6" s="1"/>
      <c r="Y6" s="1"/>
      <c r="Z6" s="1"/>
      <c r="AA6" s="32">
        <v>81</v>
      </c>
      <c r="AB6" s="33">
        <v>81</v>
      </c>
      <c r="AC6" s="1"/>
      <c r="AD6" s="1"/>
      <c r="AE6" s="32">
        <v>26</v>
      </c>
      <c r="AF6" s="33">
        <v>26</v>
      </c>
      <c r="AG6" s="1"/>
      <c r="AH6" s="32">
        <v>12</v>
      </c>
      <c r="AI6" s="33">
        <v>12</v>
      </c>
      <c r="AJ6" s="1"/>
      <c r="AK6" s="1"/>
      <c r="AL6" s="11"/>
      <c r="AM6" s="11"/>
      <c r="AN6" s="1"/>
      <c r="AO6" s="1"/>
      <c r="AP6" s="1"/>
    </row>
    <row x14ac:dyDescent="0.25" r="7" customHeight="1" ht="18.75">
      <c r="A7" s="19">
        <f>+LEN(E7)</f>
      </c>
      <c r="B7" s="20" t="s">
        <v>157</v>
      </c>
      <c r="C7" s="21" t="s">
        <v>158</v>
      </c>
      <c r="D7" s="21" t="s">
        <v>137</v>
      </c>
      <c r="E7" s="22" t="s">
        <v>159</v>
      </c>
      <c r="F7" s="23" t="s">
        <v>127</v>
      </c>
      <c r="G7" s="1"/>
      <c r="H7" s="1"/>
      <c r="I7" s="1"/>
      <c r="J7" s="1"/>
      <c r="K7" s="1"/>
      <c r="L7" s="1"/>
      <c r="M7" s="27">
        <v>20002</v>
      </c>
      <c r="N7" s="28" t="s">
        <v>160</v>
      </c>
      <c r="O7" s="1"/>
      <c r="P7" s="1"/>
      <c r="Q7" s="29">
        <v>4</v>
      </c>
      <c r="R7" s="30" t="s">
        <v>161</v>
      </c>
      <c r="S7" s="31" t="s">
        <v>162</v>
      </c>
      <c r="T7" s="1"/>
      <c r="U7" s="1"/>
      <c r="V7" s="1"/>
      <c r="W7" s="1"/>
      <c r="X7" s="1"/>
      <c r="Y7" s="1"/>
      <c r="Z7" s="1"/>
      <c r="AA7" s="11"/>
      <c r="AB7" s="11"/>
      <c r="AC7" s="1"/>
      <c r="AD7" s="1"/>
      <c r="AE7" s="32">
        <v>34</v>
      </c>
      <c r="AF7" s="33">
        <v>34</v>
      </c>
      <c r="AG7" s="1"/>
      <c r="AH7" s="11"/>
      <c r="AI7" s="11"/>
      <c r="AJ7" s="1"/>
      <c r="AK7" s="1"/>
      <c r="AL7" s="11"/>
      <c r="AM7" s="11"/>
      <c r="AN7" s="1"/>
      <c r="AO7" s="1"/>
      <c r="AP7" s="1"/>
    </row>
    <row x14ac:dyDescent="0.25" r="8" customHeight="1" ht="18.75">
      <c r="A8" s="19">
        <f>+LEN(E8)</f>
      </c>
      <c r="B8" s="20" t="s">
        <v>163</v>
      </c>
      <c r="C8" s="21" t="s">
        <v>164</v>
      </c>
      <c r="D8" s="21" t="s">
        <v>165</v>
      </c>
      <c r="E8" s="22" t="s">
        <v>166</v>
      </c>
      <c r="F8" s="23" t="s">
        <v>127</v>
      </c>
      <c r="G8" s="1"/>
      <c r="H8" s="1"/>
      <c r="I8" s="1"/>
      <c r="J8" s="1"/>
      <c r="K8" s="1"/>
      <c r="L8" s="1"/>
      <c r="M8" s="34">
        <v>20003</v>
      </c>
      <c r="N8" s="35" t="s">
        <v>167</v>
      </c>
      <c r="O8" s="1"/>
      <c r="P8" s="1"/>
      <c r="Q8" s="36">
        <v>5</v>
      </c>
      <c r="R8" s="37" t="s">
        <v>168</v>
      </c>
      <c r="S8" s="38" t="s">
        <v>169</v>
      </c>
      <c r="T8" s="1"/>
      <c r="U8" s="1"/>
      <c r="V8" s="1"/>
      <c r="W8" s="1"/>
      <c r="X8" s="1"/>
      <c r="Y8" s="1"/>
      <c r="Z8" s="1"/>
      <c r="AA8" s="11"/>
      <c r="AB8" s="11"/>
      <c r="AC8" s="1"/>
      <c r="AD8" s="1"/>
      <c r="AE8" s="32">
        <v>38</v>
      </c>
      <c r="AF8" s="33">
        <v>38</v>
      </c>
      <c r="AG8" s="1"/>
      <c r="AH8" s="11"/>
      <c r="AI8" s="11"/>
      <c r="AJ8" s="1"/>
      <c r="AK8" s="1"/>
      <c r="AL8" s="11"/>
      <c r="AM8" s="11"/>
      <c r="AN8" s="1"/>
      <c r="AO8" s="1"/>
      <c r="AP8" s="1"/>
    </row>
    <row x14ac:dyDescent="0.25" r="9" customHeight="1" ht="18.75">
      <c r="A9" s="19">
        <f>+LEN(E9)</f>
      </c>
      <c r="B9" s="20" t="s">
        <v>170</v>
      </c>
      <c r="C9" s="21" t="s">
        <v>171</v>
      </c>
      <c r="D9" s="21" t="s">
        <v>137</v>
      </c>
      <c r="E9" s="22" t="s">
        <v>172</v>
      </c>
      <c r="F9" s="23" t="s">
        <v>127</v>
      </c>
      <c r="G9" s="1"/>
      <c r="H9" s="1"/>
      <c r="I9" s="1"/>
      <c r="J9" s="1"/>
      <c r="K9" s="1"/>
      <c r="L9" s="1"/>
      <c r="M9" s="27">
        <v>20004</v>
      </c>
      <c r="N9" s="28" t="s">
        <v>173</v>
      </c>
      <c r="O9" s="1"/>
      <c r="P9" s="1"/>
      <c r="Q9" s="11"/>
      <c r="R9" s="1"/>
      <c r="S9" s="1"/>
      <c r="T9" s="1"/>
      <c r="U9" s="1"/>
      <c r="V9" s="1"/>
      <c r="W9" s="1"/>
      <c r="X9" s="1"/>
      <c r="Y9" s="1"/>
      <c r="Z9" s="1"/>
      <c r="AA9" s="11"/>
      <c r="AB9" s="11"/>
      <c r="AC9" s="1"/>
      <c r="AD9" s="1"/>
      <c r="AE9" s="32">
        <v>39</v>
      </c>
      <c r="AF9" s="33">
        <v>39</v>
      </c>
      <c r="AG9" s="1"/>
      <c r="AH9" s="11"/>
      <c r="AI9" s="11"/>
      <c r="AJ9" s="1"/>
      <c r="AK9" s="1"/>
      <c r="AL9" s="11"/>
      <c r="AM9" s="11"/>
      <c r="AN9" s="1"/>
      <c r="AO9" s="1"/>
      <c r="AP9" s="1"/>
    </row>
    <row x14ac:dyDescent="0.25" r="10" customHeight="1" ht="18.75">
      <c r="A10" s="19">
        <f>+LEN(E10)</f>
      </c>
      <c r="B10" s="20" t="s">
        <v>174</v>
      </c>
      <c r="C10" s="21" t="s">
        <v>175</v>
      </c>
      <c r="D10" s="21" t="s">
        <v>165</v>
      </c>
      <c r="E10" s="22" t="s">
        <v>176</v>
      </c>
      <c r="F10" s="23" t="s">
        <v>127</v>
      </c>
      <c r="G10" s="1"/>
      <c r="H10" s="1"/>
      <c r="I10" s="1"/>
      <c r="J10" s="1"/>
      <c r="K10" s="1"/>
      <c r="L10" s="1"/>
      <c r="M10" s="34">
        <v>20005</v>
      </c>
      <c r="N10" s="35" t="s">
        <v>177</v>
      </c>
      <c r="O10" s="1"/>
      <c r="P10" s="1"/>
      <c r="Q10" s="11"/>
      <c r="R10" s="1"/>
      <c r="S10" s="1"/>
      <c r="T10" s="1"/>
      <c r="U10" s="1"/>
      <c r="V10" s="1"/>
      <c r="W10" s="1"/>
      <c r="X10" s="1"/>
      <c r="Y10" s="1"/>
      <c r="Z10" s="1"/>
      <c r="AA10" s="11"/>
      <c r="AB10" s="11"/>
      <c r="AC10" s="1"/>
      <c r="AD10" s="1"/>
      <c r="AE10" s="32">
        <v>40</v>
      </c>
      <c r="AF10" s="33">
        <v>40</v>
      </c>
      <c r="AG10" s="1"/>
      <c r="AH10" s="11"/>
      <c r="AI10" s="11"/>
      <c r="AJ10" s="1"/>
      <c r="AK10" s="1"/>
      <c r="AL10" s="11"/>
      <c r="AM10" s="11"/>
      <c r="AN10" s="1"/>
      <c r="AO10" s="1"/>
      <c r="AP10" s="1"/>
    </row>
    <row x14ac:dyDescent="0.25" r="11" customHeight="1" ht="18.75">
      <c r="A11" s="19">
        <f>+LEN(E11)</f>
      </c>
      <c r="B11" s="20" t="s">
        <v>178</v>
      </c>
      <c r="C11" s="21" t="s">
        <v>179</v>
      </c>
      <c r="D11" s="21" t="s">
        <v>165</v>
      </c>
      <c r="E11" s="22" t="s">
        <v>180</v>
      </c>
      <c r="F11" s="23" t="s">
        <v>127</v>
      </c>
      <c r="G11" s="1"/>
      <c r="H11" s="1"/>
      <c r="I11" s="1"/>
      <c r="J11" s="1"/>
      <c r="K11" s="1"/>
      <c r="L11" s="1"/>
      <c r="M11" s="27">
        <v>20006</v>
      </c>
      <c r="N11" s="28" t="s">
        <v>181</v>
      </c>
      <c r="O11" s="1"/>
      <c r="P11" s="1"/>
      <c r="Q11" s="11"/>
      <c r="R11" s="1"/>
      <c r="S11" s="1"/>
      <c r="T11" s="1"/>
      <c r="U11" s="1"/>
      <c r="V11" s="1"/>
      <c r="W11" s="1"/>
      <c r="X11" s="1"/>
      <c r="Y11" s="1"/>
      <c r="Z11" s="1"/>
      <c r="AA11" s="11"/>
      <c r="AB11" s="11"/>
      <c r="AC11" s="1"/>
      <c r="AD11" s="1"/>
      <c r="AE11" s="32">
        <v>41</v>
      </c>
      <c r="AF11" s="33">
        <v>41</v>
      </c>
      <c r="AG11" s="1"/>
      <c r="AH11" s="11"/>
      <c r="AI11" s="11"/>
      <c r="AJ11" s="1"/>
      <c r="AK11" s="1"/>
      <c r="AL11" s="11"/>
      <c r="AM11" s="11"/>
      <c r="AN11" s="1"/>
      <c r="AO11" s="1"/>
      <c r="AP11" s="1"/>
    </row>
    <row x14ac:dyDescent="0.25" r="12" customHeight="1" ht="18.75">
      <c r="A12" s="19">
        <f>+LEN(E12)</f>
      </c>
      <c r="B12" s="20" t="s">
        <v>182</v>
      </c>
      <c r="C12" s="21" t="s">
        <v>183</v>
      </c>
      <c r="D12" s="21" t="s">
        <v>137</v>
      </c>
      <c r="E12" s="22" t="s">
        <v>184</v>
      </c>
      <c r="F12" s="23" t="s">
        <v>127</v>
      </c>
      <c r="G12" s="1"/>
      <c r="H12" s="1"/>
      <c r="I12" s="1"/>
      <c r="J12" s="1"/>
      <c r="K12" s="1"/>
      <c r="L12" s="1"/>
      <c r="M12" s="34">
        <v>20007</v>
      </c>
      <c r="N12" s="35" t="s">
        <v>185</v>
      </c>
      <c r="O12" s="1"/>
      <c r="P12" s="1"/>
      <c r="Q12" s="18" t="s">
        <v>186</v>
      </c>
      <c r="R12" s="1"/>
      <c r="S12" s="1"/>
      <c r="T12" s="1"/>
      <c r="U12" s="1"/>
      <c r="V12" s="1"/>
      <c r="W12" s="1"/>
      <c r="X12" s="1"/>
      <c r="Y12" s="1"/>
      <c r="Z12" s="1"/>
      <c r="AA12" s="11"/>
      <c r="AB12" s="11"/>
      <c r="AC12" s="1"/>
      <c r="AD12" s="1"/>
      <c r="AE12" s="11"/>
      <c r="AF12" s="11"/>
      <c r="AG12" s="1"/>
      <c r="AH12" s="11"/>
      <c r="AI12" s="11"/>
      <c r="AJ12" s="1"/>
      <c r="AK12" s="1"/>
      <c r="AL12" s="11"/>
      <c r="AM12" s="11"/>
      <c r="AN12" s="1"/>
      <c r="AO12" s="1"/>
      <c r="AP12" s="1"/>
    </row>
    <row x14ac:dyDescent="0.25" r="13" customHeight="1" ht="18.75">
      <c r="A13" s="19">
        <f>+LEN(E13)</f>
      </c>
      <c r="B13" s="20" t="s">
        <v>187</v>
      </c>
      <c r="C13" s="21" t="s">
        <v>188</v>
      </c>
      <c r="D13" s="21" t="s">
        <v>165</v>
      </c>
      <c r="E13" s="22" t="s">
        <v>189</v>
      </c>
      <c r="F13" s="23" t="s">
        <v>127</v>
      </c>
      <c r="G13" s="1"/>
      <c r="H13" s="1"/>
      <c r="I13" s="1"/>
      <c r="J13" s="1"/>
      <c r="K13" s="1"/>
      <c r="L13" s="1"/>
      <c r="M13" s="27">
        <v>20008</v>
      </c>
      <c r="N13" s="28" t="s">
        <v>190</v>
      </c>
      <c r="O13" s="1"/>
      <c r="P13" s="1"/>
      <c r="Q13" s="39" t="s">
        <v>137</v>
      </c>
      <c r="R13" s="26" t="s">
        <v>169</v>
      </c>
      <c r="S13" s="1"/>
      <c r="T13" s="1"/>
      <c r="U13" s="1"/>
      <c r="V13" s="1"/>
      <c r="W13" s="1"/>
      <c r="X13" s="1"/>
      <c r="Y13" s="1"/>
      <c r="Z13" s="1"/>
      <c r="AA13" s="11"/>
      <c r="AB13" s="11"/>
      <c r="AC13" s="1"/>
      <c r="AD13" s="1"/>
      <c r="AE13" s="11"/>
      <c r="AF13" s="11"/>
      <c r="AG13" s="1"/>
      <c r="AH13" s="11"/>
      <c r="AI13" s="11"/>
      <c r="AJ13" s="1"/>
      <c r="AK13" s="1"/>
      <c r="AL13" s="11"/>
      <c r="AM13" s="11"/>
      <c r="AN13" s="1"/>
      <c r="AO13" s="1"/>
      <c r="AP13" s="1"/>
    </row>
    <row x14ac:dyDescent="0.25" r="14" customHeight="1" ht="18.75">
      <c r="A14" s="19">
        <f>+LEN(E14)</f>
      </c>
      <c r="B14" s="20" t="s">
        <v>191</v>
      </c>
      <c r="C14" s="21" t="s">
        <v>192</v>
      </c>
      <c r="D14" s="21" t="s">
        <v>137</v>
      </c>
      <c r="E14" s="22" t="s">
        <v>193</v>
      </c>
      <c r="F14" s="23" t="s">
        <v>127</v>
      </c>
      <c r="G14" s="1"/>
      <c r="H14" s="1"/>
      <c r="I14" s="1"/>
      <c r="J14" s="1"/>
      <c r="K14" s="1"/>
      <c r="L14" s="1"/>
      <c r="M14" s="34">
        <v>20009</v>
      </c>
      <c r="N14" s="35" t="s">
        <v>194</v>
      </c>
      <c r="O14" s="1"/>
      <c r="P14" s="1"/>
      <c r="Q14" s="40" t="s">
        <v>165</v>
      </c>
      <c r="R14" s="38" t="s">
        <v>195</v>
      </c>
      <c r="S14" s="1"/>
      <c r="T14" s="1"/>
      <c r="U14" s="1"/>
      <c r="V14" s="1"/>
      <c r="W14" s="1"/>
      <c r="X14" s="1"/>
      <c r="Y14" s="1"/>
      <c r="Z14" s="1"/>
      <c r="AA14" s="11"/>
      <c r="AB14" s="11"/>
      <c r="AC14" s="1"/>
      <c r="AD14" s="1"/>
      <c r="AE14" s="11"/>
      <c r="AF14" s="11"/>
      <c r="AG14" s="1"/>
      <c r="AH14" s="11"/>
      <c r="AI14" s="11"/>
      <c r="AJ14" s="1"/>
      <c r="AK14" s="1"/>
      <c r="AL14" s="11"/>
      <c r="AM14" s="11"/>
      <c r="AN14" s="1"/>
      <c r="AO14" s="1"/>
      <c r="AP14" s="1"/>
    </row>
    <row x14ac:dyDescent="0.25" r="15" customHeight="1" ht="18.75">
      <c r="A15" s="19">
        <f>+LEN(E15)</f>
      </c>
      <c r="B15" s="20" t="s">
        <v>196</v>
      </c>
      <c r="C15" s="21" t="s">
        <v>197</v>
      </c>
      <c r="D15" s="21" t="s">
        <v>165</v>
      </c>
      <c r="E15" s="22" t="s">
        <v>198</v>
      </c>
      <c r="F15" s="23" t="s">
        <v>127</v>
      </c>
      <c r="G15" s="1"/>
      <c r="H15" s="1"/>
      <c r="I15" s="1"/>
      <c r="J15" s="1"/>
      <c r="K15" s="1"/>
      <c r="L15" s="1"/>
      <c r="M15" s="27">
        <v>30001</v>
      </c>
      <c r="N15" s="28" t="s">
        <v>199</v>
      </c>
      <c r="O15" s="1"/>
      <c r="P15" s="1"/>
      <c r="Q15" s="11"/>
      <c r="R15" s="1"/>
      <c r="S15" s="1"/>
      <c r="T15" s="1"/>
      <c r="U15" s="1"/>
      <c r="V15" s="1"/>
      <c r="W15" s="1"/>
      <c r="X15" s="1"/>
      <c r="Y15" s="1"/>
      <c r="Z15" s="1"/>
      <c r="AA15" s="11"/>
      <c r="AB15" s="11"/>
      <c r="AC15" s="1"/>
      <c r="AD15" s="1"/>
      <c r="AE15" s="11"/>
      <c r="AF15" s="11"/>
      <c r="AG15" s="1"/>
      <c r="AH15" s="11"/>
      <c r="AI15" s="11"/>
      <c r="AJ15" s="1"/>
      <c r="AK15" s="1"/>
      <c r="AL15" s="11"/>
      <c r="AM15" s="11"/>
      <c r="AN15" s="1"/>
      <c r="AO15" s="1"/>
      <c r="AP15" s="1"/>
    </row>
    <row x14ac:dyDescent="0.25" r="16" customHeight="1" ht="18.75">
      <c r="A16" s="19">
        <f>+LEN(E16)</f>
      </c>
      <c r="B16" s="20" t="s">
        <v>200</v>
      </c>
      <c r="C16" s="21" t="s">
        <v>201</v>
      </c>
      <c r="D16" s="21" t="s">
        <v>137</v>
      </c>
      <c r="E16" s="22" t="s">
        <v>202</v>
      </c>
      <c r="F16" s="23" t="s">
        <v>127</v>
      </c>
      <c r="G16" s="1"/>
      <c r="H16" s="1"/>
      <c r="I16" s="1"/>
      <c r="J16" s="1"/>
      <c r="K16" s="1"/>
      <c r="L16" s="1"/>
      <c r="M16" s="34">
        <v>30002</v>
      </c>
      <c r="N16" s="35" t="s">
        <v>203</v>
      </c>
      <c r="O16" s="1"/>
      <c r="P16" s="1"/>
      <c r="Q16" s="11"/>
      <c r="R16" s="1"/>
      <c r="S16" s="1"/>
      <c r="T16" s="1"/>
      <c r="U16" s="1"/>
      <c r="V16" s="1"/>
      <c r="W16" s="1"/>
      <c r="X16" s="1"/>
      <c r="Y16" s="1"/>
      <c r="Z16" s="1"/>
      <c r="AA16" s="11"/>
      <c r="AB16" s="11"/>
      <c r="AC16" s="1"/>
      <c r="AD16" s="1"/>
      <c r="AE16" s="11"/>
      <c r="AF16" s="11"/>
      <c r="AG16" s="1"/>
      <c r="AH16" s="11"/>
      <c r="AI16" s="11"/>
      <c r="AJ16" s="1"/>
      <c r="AK16" s="1"/>
      <c r="AL16" s="11"/>
      <c r="AM16" s="11"/>
      <c r="AN16" s="1"/>
      <c r="AO16" s="1"/>
      <c r="AP16" s="1"/>
    </row>
    <row x14ac:dyDescent="0.25" r="17" customHeight="1" ht="18.75">
      <c r="A17" s="19">
        <f>+LEN(E17)</f>
      </c>
      <c r="B17" s="20" t="s">
        <v>204</v>
      </c>
      <c r="C17" s="21" t="s">
        <v>205</v>
      </c>
      <c r="D17" s="21" t="s">
        <v>165</v>
      </c>
      <c r="E17" s="22" t="s">
        <v>206</v>
      </c>
      <c r="F17" s="23" t="s">
        <v>127</v>
      </c>
      <c r="G17" s="1"/>
      <c r="H17" s="1"/>
      <c r="I17" s="1"/>
      <c r="J17" s="1"/>
      <c r="K17" s="1"/>
      <c r="L17" s="1"/>
      <c r="M17" s="27">
        <v>30003</v>
      </c>
      <c r="N17" s="28" t="s">
        <v>207</v>
      </c>
      <c r="O17" s="1"/>
      <c r="P17" s="1"/>
      <c r="Q17" s="18" t="s">
        <v>208</v>
      </c>
      <c r="R17" s="1"/>
      <c r="S17" s="1"/>
      <c r="T17" s="1"/>
      <c r="U17" s="1"/>
      <c r="V17" s="1"/>
      <c r="W17" s="1"/>
      <c r="X17" s="1"/>
      <c r="Y17" s="1"/>
      <c r="Z17" s="1"/>
      <c r="AA17" s="11"/>
      <c r="AB17" s="11"/>
      <c r="AC17" s="1"/>
      <c r="AD17" s="1"/>
      <c r="AE17" s="11"/>
      <c r="AF17" s="11"/>
      <c r="AG17" s="1"/>
      <c r="AH17" s="11"/>
      <c r="AI17" s="11"/>
      <c r="AJ17" s="1"/>
      <c r="AK17" s="1"/>
      <c r="AL17" s="11"/>
      <c r="AM17" s="11"/>
      <c r="AN17" s="1"/>
      <c r="AO17" s="1"/>
      <c r="AP17" s="1"/>
    </row>
    <row x14ac:dyDescent="0.25" r="18" customHeight="1" ht="18.75">
      <c r="A18" s="19">
        <f>+LEN(E18)</f>
      </c>
      <c r="B18" s="20" t="s">
        <v>209</v>
      </c>
      <c r="C18" s="21" t="s">
        <v>210</v>
      </c>
      <c r="D18" s="21" t="s">
        <v>165</v>
      </c>
      <c r="E18" s="22" t="s">
        <v>211</v>
      </c>
      <c r="F18" s="23" t="s">
        <v>127</v>
      </c>
      <c r="G18" s="1"/>
      <c r="H18" s="1"/>
      <c r="I18" s="1"/>
      <c r="J18" s="1"/>
      <c r="K18" s="1"/>
      <c r="L18" s="1"/>
      <c r="M18" s="34">
        <v>30004</v>
      </c>
      <c r="N18" s="35" t="s">
        <v>212</v>
      </c>
      <c r="O18" s="1"/>
      <c r="P18" s="1"/>
      <c r="Q18" s="41"/>
      <c r="R18" s="42"/>
      <c r="S18" s="43"/>
      <c r="T18" s="1"/>
      <c r="U18" s="1"/>
      <c r="V18" s="1"/>
      <c r="W18" s="1"/>
      <c r="X18" s="1"/>
      <c r="Y18" s="1"/>
      <c r="Z18" s="1"/>
      <c r="AA18" s="11"/>
      <c r="AB18" s="11"/>
      <c r="AC18" s="1"/>
      <c r="AD18" s="1"/>
      <c r="AE18" s="11"/>
      <c r="AF18" s="11"/>
      <c r="AG18" s="1"/>
      <c r="AH18" s="11"/>
      <c r="AI18" s="11"/>
      <c r="AJ18" s="1"/>
      <c r="AK18" s="1"/>
      <c r="AL18" s="11"/>
      <c r="AM18" s="11"/>
      <c r="AN18" s="1"/>
      <c r="AO18" s="1"/>
      <c r="AP18" s="1"/>
    </row>
    <row x14ac:dyDescent="0.25" r="19" customHeight="1" ht="18.75">
      <c r="A19" s="19">
        <f>+LEN(E19)</f>
      </c>
      <c r="B19" s="20" t="s">
        <v>213</v>
      </c>
      <c r="C19" s="21" t="s">
        <v>214</v>
      </c>
      <c r="D19" s="21" t="s">
        <v>165</v>
      </c>
      <c r="E19" s="22" t="s">
        <v>215</v>
      </c>
      <c r="F19" s="23" t="s">
        <v>127</v>
      </c>
      <c r="G19" s="1"/>
      <c r="H19" s="1"/>
      <c r="I19" s="1"/>
      <c r="J19" s="1"/>
      <c r="K19" s="1"/>
      <c r="L19" s="1"/>
      <c r="M19" s="27">
        <v>30005</v>
      </c>
      <c r="N19" s="28" t="s">
        <v>216</v>
      </c>
      <c r="O19" s="1"/>
      <c r="P19" s="1"/>
      <c r="Q19" s="44" t="s">
        <v>217</v>
      </c>
      <c r="R19" s="45" t="s">
        <v>218</v>
      </c>
      <c r="S19" s="46" t="s">
        <v>217</v>
      </c>
      <c r="T19" s="1"/>
      <c r="U19" s="1"/>
      <c r="V19" s="1"/>
      <c r="W19" s="1"/>
      <c r="X19" s="1"/>
      <c r="Y19" s="1"/>
      <c r="Z19" s="1"/>
      <c r="AA19" s="11"/>
      <c r="AB19" s="11"/>
      <c r="AC19" s="1"/>
      <c r="AD19" s="1"/>
      <c r="AE19" s="11"/>
      <c r="AF19" s="11"/>
      <c r="AG19" s="1"/>
      <c r="AH19" s="11"/>
      <c r="AI19" s="11"/>
      <c r="AJ19" s="1"/>
      <c r="AK19" s="1"/>
      <c r="AL19" s="11"/>
      <c r="AM19" s="11"/>
      <c r="AN19" s="1"/>
      <c r="AO19" s="1"/>
      <c r="AP19" s="1"/>
    </row>
    <row x14ac:dyDescent="0.25" r="20" customHeight="1" ht="18.75">
      <c r="A20" s="19">
        <f>+LEN(E20)</f>
      </c>
      <c r="B20" s="20" t="s">
        <v>219</v>
      </c>
      <c r="C20" s="21" t="s">
        <v>220</v>
      </c>
      <c r="D20" s="21" t="s">
        <v>137</v>
      </c>
      <c r="E20" s="22" t="s">
        <v>221</v>
      </c>
      <c r="F20" s="23" t="s">
        <v>127</v>
      </c>
      <c r="G20" s="1"/>
      <c r="H20" s="1"/>
      <c r="I20" s="1"/>
      <c r="J20" s="1"/>
      <c r="K20" s="1"/>
      <c r="L20" s="1"/>
      <c r="M20" s="34">
        <v>30006</v>
      </c>
      <c r="N20" s="35" t="s">
        <v>222</v>
      </c>
      <c r="O20" s="1"/>
      <c r="P20" s="1"/>
      <c r="Q20" s="44" t="s">
        <v>223</v>
      </c>
      <c r="R20" s="45" t="s">
        <v>224</v>
      </c>
      <c r="S20" s="46" t="s">
        <v>217</v>
      </c>
      <c r="T20" s="1"/>
      <c r="U20" s="1"/>
      <c r="V20" s="1"/>
      <c r="W20" s="1"/>
      <c r="X20" s="1"/>
      <c r="Y20" s="1"/>
      <c r="Z20" s="1"/>
      <c r="AA20" s="11"/>
      <c r="AB20" s="11"/>
      <c r="AC20" s="1"/>
      <c r="AD20" s="1"/>
      <c r="AE20" s="11"/>
      <c r="AF20" s="11"/>
      <c r="AG20" s="1"/>
      <c r="AH20" s="11"/>
      <c r="AI20" s="11"/>
      <c r="AJ20" s="1"/>
      <c r="AK20" s="1"/>
      <c r="AL20" s="11"/>
      <c r="AM20" s="11"/>
      <c r="AN20" s="1"/>
      <c r="AO20" s="1"/>
      <c r="AP20" s="1"/>
    </row>
    <row x14ac:dyDescent="0.25" r="21" customHeight="1" ht="18.75">
      <c r="A21" s="19">
        <f>+LEN(E21)</f>
      </c>
      <c r="B21" s="20" t="s">
        <v>225</v>
      </c>
      <c r="C21" s="21" t="s">
        <v>226</v>
      </c>
      <c r="D21" s="47" t="s">
        <v>137</v>
      </c>
      <c r="E21" s="22" t="s">
        <v>227</v>
      </c>
      <c r="F21" s="23" t="s">
        <v>127</v>
      </c>
      <c r="G21" s="1"/>
      <c r="H21" s="1"/>
      <c r="I21" s="1"/>
      <c r="J21" s="1"/>
      <c r="K21" s="1"/>
      <c r="L21" s="1"/>
      <c r="M21" s="27">
        <v>30007</v>
      </c>
      <c r="N21" s="28" t="s">
        <v>228</v>
      </c>
      <c r="O21" s="1"/>
      <c r="P21" s="1"/>
      <c r="Q21" s="44" t="s">
        <v>229</v>
      </c>
      <c r="R21" s="45" t="s">
        <v>230</v>
      </c>
      <c r="S21" s="46" t="s">
        <v>229</v>
      </c>
      <c r="T21" s="1"/>
      <c r="U21" s="1"/>
      <c r="V21" s="1"/>
      <c r="W21" s="1"/>
      <c r="X21" s="1"/>
      <c r="Y21" s="1"/>
      <c r="Z21" s="1"/>
      <c r="AA21" s="11"/>
      <c r="AB21" s="11"/>
      <c r="AC21" s="1"/>
      <c r="AD21" s="1"/>
      <c r="AE21" s="11"/>
      <c r="AF21" s="11"/>
      <c r="AG21" s="1"/>
      <c r="AH21" s="11"/>
      <c r="AI21" s="11"/>
      <c r="AJ21" s="1"/>
      <c r="AK21" s="1"/>
      <c r="AL21" s="11"/>
      <c r="AM21" s="11"/>
      <c r="AN21" s="1"/>
      <c r="AO21" s="1"/>
      <c r="AP21" s="1"/>
    </row>
    <row x14ac:dyDescent="0.25" r="22" customHeight="1" ht="18.75">
      <c r="A22" s="19">
        <f>+LEN(E22)</f>
      </c>
      <c r="B22" s="20" t="s">
        <v>231</v>
      </c>
      <c r="C22" s="21" t="s">
        <v>232</v>
      </c>
      <c r="D22" s="21" t="s">
        <v>137</v>
      </c>
      <c r="E22" s="22" t="s">
        <v>233</v>
      </c>
      <c r="F22" s="23" t="s">
        <v>127</v>
      </c>
      <c r="G22" s="1"/>
      <c r="H22" s="1"/>
      <c r="I22" s="1"/>
      <c r="J22" s="1"/>
      <c r="K22" s="1"/>
      <c r="L22" s="1"/>
      <c r="M22" s="34">
        <v>30008</v>
      </c>
      <c r="N22" s="35" t="s">
        <v>234</v>
      </c>
      <c r="O22" s="1"/>
      <c r="P22" s="1"/>
      <c r="Q22" s="44" t="s">
        <v>235</v>
      </c>
      <c r="R22" s="45" t="s">
        <v>236</v>
      </c>
      <c r="S22" s="46" t="s">
        <v>217</v>
      </c>
      <c r="T22" s="1"/>
      <c r="U22" s="1"/>
      <c r="V22" s="1"/>
      <c r="W22" s="1"/>
      <c r="X22" s="1"/>
      <c r="Y22" s="1"/>
      <c r="Z22" s="1"/>
      <c r="AA22" s="11"/>
      <c r="AB22" s="11"/>
      <c r="AC22" s="1"/>
      <c r="AD22" s="1"/>
      <c r="AE22" s="11"/>
      <c r="AF22" s="11"/>
      <c r="AG22" s="1"/>
      <c r="AH22" s="11"/>
      <c r="AI22" s="11"/>
      <c r="AJ22" s="1"/>
      <c r="AK22" s="1"/>
      <c r="AL22" s="11"/>
      <c r="AM22" s="11"/>
      <c r="AN22" s="1"/>
      <c r="AO22" s="1"/>
      <c r="AP22" s="1"/>
    </row>
    <row x14ac:dyDescent="0.25" r="23" customHeight="1" ht="18.75">
      <c r="A23" s="19">
        <f>+LEN(E23)</f>
      </c>
      <c r="B23" s="20" t="s">
        <v>237</v>
      </c>
      <c r="C23" s="21" t="s">
        <v>238</v>
      </c>
      <c r="D23" s="21" t="s">
        <v>137</v>
      </c>
      <c r="E23" s="22" t="s">
        <v>239</v>
      </c>
      <c r="F23" s="23" t="s">
        <v>127</v>
      </c>
      <c r="G23" s="1"/>
      <c r="H23" s="1"/>
      <c r="I23" s="1"/>
      <c r="J23" s="1"/>
      <c r="K23" s="1"/>
      <c r="L23" s="1"/>
      <c r="M23" s="27">
        <v>30009</v>
      </c>
      <c r="N23" s="28" t="s">
        <v>240</v>
      </c>
      <c r="O23" s="1"/>
      <c r="P23" s="1"/>
      <c r="Q23" s="44" t="s">
        <v>241</v>
      </c>
      <c r="R23" s="45" t="s">
        <v>242</v>
      </c>
      <c r="S23" s="46" t="s">
        <v>241</v>
      </c>
      <c r="T23" s="1"/>
      <c r="U23" s="1"/>
      <c r="V23" s="1"/>
      <c r="W23" s="1"/>
      <c r="X23" s="1"/>
      <c r="Y23" s="1"/>
      <c r="Z23" s="1"/>
      <c r="AA23" s="11"/>
      <c r="AB23" s="11"/>
      <c r="AC23" s="1"/>
      <c r="AD23" s="1"/>
      <c r="AE23" s="11"/>
      <c r="AF23" s="11"/>
      <c r="AG23" s="1"/>
      <c r="AH23" s="11"/>
      <c r="AI23" s="11"/>
      <c r="AJ23" s="1"/>
      <c r="AK23" s="1"/>
      <c r="AL23" s="11"/>
      <c r="AM23" s="11"/>
      <c r="AN23" s="1"/>
      <c r="AO23" s="1"/>
      <c r="AP23" s="1"/>
    </row>
    <row x14ac:dyDescent="0.25" r="24" customHeight="1" ht="18.75">
      <c r="A24" s="19">
        <f>+LEN(E24)</f>
      </c>
      <c r="B24" s="20" t="s">
        <v>243</v>
      </c>
      <c r="C24" s="21" t="s">
        <v>244</v>
      </c>
      <c r="D24" s="21" t="s">
        <v>137</v>
      </c>
      <c r="E24" s="22" t="s">
        <v>245</v>
      </c>
      <c r="F24" s="23" t="s">
        <v>127</v>
      </c>
      <c r="G24" s="1"/>
      <c r="H24" s="1"/>
      <c r="I24" s="1"/>
      <c r="J24" s="1"/>
      <c r="K24" s="1"/>
      <c r="L24" s="1"/>
      <c r="M24" s="34">
        <v>30010</v>
      </c>
      <c r="N24" s="35" t="s">
        <v>246</v>
      </c>
      <c r="O24" s="1"/>
      <c r="P24" s="1"/>
      <c r="Q24" s="44" t="s">
        <v>150</v>
      </c>
      <c r="R24" s="45" t="s">
        <v>247</v>
      </c>
      <c r="S24" s="46" t="s">
        <v>217</v>
      </c>
      <c r="T24" s="1"/>
      <c r="U24" s="1"/>
      <c r="V24" s="1"/>
      <c r="W24" s="1"/>
      <c r="X24" s="1"/>
      <c r="Y24" s="1"/>
      <c r="Z24" s="1"/>
      <c r="AA24" s="11"/>
      <c r="AB24" s="11"/>
      <c r="AC24" s="1"/>
      <c r="AD24" s="1"/>
      <c r="AE24" s="11"/>
      <c r="AF24" s="11"/>
      <c r="AG24" s="1"/>
      <c r="AH24" s="11"/>
      <c r="AI24" s="11"/>
      <c r="AJ24" s="1"/>
      <c r="AK24" s="1"/>
      <c r="AL24" s="11"/>
      <c r="AM24" s="11"/>
      <c r="AN24" s="1"/>
      <c r="AO24" s="1"/>
      <c r="AP24" s="1"/>
    </row>
    <row x14ac:dyDescent="0.25" r="25" customHeight="1" ht="18.75">
      <c r="A25" s="19">
        <f>+LEN(E25)</f>
      </c>
      <c r="B25" s="20" t="s">
        <v>248</v>
      </c>
      <c r="C25" s="21" t="s">
        <v>249</v>
      </c>
      <c r="D25" s="21" t="s">
        <v>165</v>
      </c>
      <c r="E25" s="22" t="s">
        <v>250</v>
      </c>
      <c r="F25" s="23" t="s">
        <v>127</v>
      </c>
      <c r="G25" s="1"/>
      <c r="H25" s="1"/>
      <c r="I25" s="1"/>
      <c r="J25" s="1"/>
      <c r="K25" s="1"/>
      <c r="L25" s="1"/>
      <c r="M25" s="27">
        <v>30011</v>
      </c>
      <c r="N25" s="28" t="s">
        <v>251</v>
      </c>
      <c r="O25" s="1"/>
      <c r="P25" s="1"/>
      <c r="Q25" s="48" t="s">
        <v>162</v>
      </c>
      <c r="R25" s="49" t="s">
        <v>252</v>
      </c>
      <c r="S25" s="50" t="s">
        <v>217</v>
      </c>
      <c r="T25" s="1"/>
      <c r="U25" s="1"/>
      <c r="V25" s="1"/>
      <c r="W25" s="1"/>
      <c r="X25" s="1"/>
      <c r="Y25" s="1"/>
      <c r="Z25" s="1"/>
      <c r="AA25" s="11"/>
      <c r="AB25" s="11"/>
      <c r="AC25" s="1"/>
      <c r="AD25" s="1"/>
      <c r="AE25" s="11"/>
      <c r="AF25" s="11"/>
      <c r="AG25" s="1"/>
      <c r="AH25" s="11"/>
      <c r="AI25" s="11"/>
      <c r="AJ25" s="1"/>
      <c r="AK25" s="1"/>
      <c r="AL25" s="11"/>
      <c r="AM25" s="11"/>
      <c r="AN25" s="1"/>
      <c r="AO25" s="1"/>
      <c r="AP25" s="1"/>
    </row>
    <row x14ac:dyDescent="0.25" r="26" customHeight="1" ht="18.75">
      <c r="A26" s="19">
        <f>+LEN(E26)</f>
      </c>
      <c r="B26" s="20" t="s">
        <v>253</v>
      </c>
      <c r="C26" s="21" t="s">
        <v>254</v>
      </c>
      <c r="D26" s="21" t="s">
        <v>137</v>
      </c>
      <c r="E26" s="22" t="s">
        <v>255</v>
      </c>
      <c r="F26" s="23" t="s">
        <v>127</v>
      </c>
      <c r="G26" s="1"/>
      <c r="H26" s="1"/>
      <c r="I26" s="1"/>
      <c r="J26" s="1"/>
      <c r="K26" s="1"/>
      <c r="L26" s="1"/>
      <c r="M26" s="34">
        <v>30012</v>
      </c>
      <c r="N26" s="35" t="s">
        <v>256</v>
      </c>
      <c r="O26" s="1"/>
      <c r="P26" s="1"/>
      <c r="Q26" s="11"/>
      <c r="R26" s="1"/>
      <c r="S26" s="1"/>
      <c r="T26" s="1"/>
      <c r="U26" s="1"/>
      <c r="V26" s="1"/>
      <c r="W26" s="1"/>
      <c r="X26" s="1"/>
      <c r="Y26" s="1"/>
      <c r="Z26" s="1"/>
      <c r="AA26" s="11"/>
      <c r="AB26" s="11"/>
      <c r="AC26" s="1"/>
      <c r="AD26" s="1"/>
      <c r="AE26" s="11"/>
      <c r="AF26" s="11"/>
      <c r="AG26" s="1"/>
      <c r="AH26" s="11"/>
      <c r="AI26" s="11"/>
      <c r="AJ26" s="1"/>
      <c r="AK26" s="1"/>
      <c r="AL26" s="11"/>
      <c r="AM26" s="11"/>
      <c r="AN26" s="1"/>
      <c r="AO26" s="1"/>
      <c r="AP26" s="1"/>
    </row>
    <row x14ac:dyDescent="0.25" r="27" customHeight="1" ht="18.75">
      <c r="A27" s="19">
        <f>+LEN(E27)</f>
      </c>
      <c r="B27" s="20" t="s">
        <v>257</v>
      </c>
      <c r="C27" s="21" t="s">
        <v>258</v>
      </c>
      <c r="D27" s="21" t="s">
        <v>137</v>
      </c>
      <c r="E27" s="22" t="s">
        <v>259</v>
      </c>
      <c r="F27" s="23" t="s">
        <v>127</v>
      </c>
      <c r="G27" s="1"/>
      <c r="H27" s="1"/>
      <c r="I27" s="1"/>
      <c r="J27" s="1"/>
      <c r="K27" s="1"/>
      <c r="L27" s="1"/>
      <c r="M27" s="27">
        <v>30013</v>
      </c>
      <c r="N27" s="28" t="s">
        <v>260</v>
      </c>
      <c r="O27" s="1"/>
      <c r="P27" s="1"/>
      <c r="Q27" s="11"/>
      <c r="R27" s="1"/>
      <c r="S27" s="1"/>
      <c r="T27" s="1"/>
      <c r="U27" s="1"/>
      <c r="V27" s="1"/>
      <c r="W27" s="1"/>
      <c r="X27" s="1"/>
      <c r="Y27" s="1"/>
      <c r="Z27" s="1"/>
      <c r="AA27" s="11"/>
      <c r="AB27" s="11"/>
      <c r="AC27" s="1"/>
      <c r="AD27" s="1"/>
      <c r="AE27" s="11"/>
      <c r="AF27" s="11"/>
      <c r="AG27" s="1"/>
      <c r="AH27" s="11"/>
      <c r="AI27" s="11"/>
      <c r="AJ27" s="1"/>
      <c r="AK27" s="1"/>
      <c r="AL27" s="11"/>
      <c r="AM27" s="11"/>
      <c r="AN27" s="1"/>
      <c r="AO27" s="1"/>
      <c r="AP27" s="1"/>
    </row>
    <row x14ac:dyDescent="0.25" r="28" customHeight="1" ht="18.75">
      <c r="A28" s="19">
        <f>+LEN(E28)</f>
      </c>
      <c r="B28" s="20" t="s">
        <v>261</v>
      </c>
      <c r="C28" s="21" t="s">
        <v>262</v>
      </c>
      <c r="D28" s="21" t="s">
        <v>137</v>
      </c>
      <c r="E28" s="22" t="s">
        <v>263</v>
      </c>
      <c r="F28" s="23" t="s">
        <v>127</v>
      </c>
      <c r="G28" s="1"/>
      <c r="H28" s="1"/>
      <c r="I28" s="1"/>
      <c r="J28" s="1"/>
      <c r="K28" s="1"/>
      <c r="L28" s="1"/>
      <c r="M28" s="34">
        <v>30014</v>
      </c>
      <c r="N28" s="35" t="s">
        <v>264</v>
      </c>
      <c r="O28" s="1"/>
      <c r="P28" s="1"/>
      <c r="Q28" s="11"/>
      <c r="R28" s="1"/>
      <c r="S28" s="1"/>
      <c r="T28" s="1"/>
      <c r="U28" s="1"/>
      <c r="V28" s="1"/>
      <c r="W28" s="1"/>
      <c r="X28" s="1"/>
      <c r="Y28" s="1"/>
      <c r="Z28" s="1"/>
      <c r="AA28" s="11"/>
      <c r="AB28" s="11"/>
      <c r="AC28" s="1"/>
      <c r="AD28" s="1"/>
      <c r="AE28" s="11"/>
      <c r="AF28" s="11"/>
      <c r="AG28" s="1"/>
      <c r="AH28" s="11"/>
      <c r="AI28" s="11"/>
      <c r="AJ28" s="1"/>
      <c r="AK28" s="1"/>
      <c r="AL28" s="11"/>
      <c r="AM28" s="11"/>
      <c r="AN28" s="1"/>
      <c r="AO28" s="1"/>
      <c r="AP28" s="1"/>
    </row>
    <row x14ac:dyDescent="0.25" r="29" customHeight="1" ht="18.75">
      <c r="A29" s="19">
        <f>+LEN(E29)</f>
      </c>
      <c r="B29" s="20" t="s">
        <v>265</v>
      </c>
      <c r="C29" s="21" t="s">
        <v>266</v>
      </c>
      <c r="D29" s="21" t="s">
        <v>165</v>
      </c>
      <c r="E29" s="22" t="s">
        <v>267</v>
      </c>
      <c r="F29" s="23" t="s">
        <v>127</v>
      </c>
      <c r="G29" s="1"/>
      <c r="H29" s="1"/>
      <c r="I29" s="1"/>
      <c r="J29" s="1"/>
      <c r="K29" s="1"/>
      <c r="L29" s="1"/>
      <c r="M29" s="27">
        <v>30015</v>
      </c>
      <c r="N29" s="28" t="s">
        <v>268</v>
      </c>
      <c r="O29" s="1"/>
      <c r="P29" s="1"/>
      <c r="Q29" s="51" t="s">
        <v>127</v>
      </c>
      <c r="R29" s="1"/>
      <c r="S29" s="1"/>
      <c r="T29" s="1"/>
      <c r="U29" s="1"/>
      <c r="V29" s="1"/>
      <c r="W29" s="1"/>
      <c r="X29" s="1"/>
      <c r="Y29" s="1"/>
      <c r="Z29" s="1"/>
      <c r="AA29" s="11"/>
      <c r="AB29" s="11"/>
      <c r="AC29" s="1"/>
      <c r="AD29" s="1"/>
      <c r="AE29" s="11"/>
      <c r="AF29" s="11"/>
      <c r="AG29" s="1"/>
      <c r="AH29" s="11"/>
      <c r="AI29" s="11"/>
      <c r="AJ29" s="1"/>
      <c r="AK29" s="1"/>
      <c r="AL29" s="11"/>
      <c r="AM29" s="11"/>
      <c r="AN29" s="1"/>
      <c r="AO29" s="1"/>
      <c r="AP29" s="1"/>
    </row>
    <row x14ac:dyDescent="0.25" r="30" customHeight="1" ht="18.75">
      <c r="A30" s="19">
        <f>+LEN(E30)</f>
      </c>
      <c r="B30" s="20" t="s">
        <v>269</v>
      </c>
      <c r="C30" s="21" t="s">
        <v>270</v>
      </c>
      <c r="D30" s="21" t="s">
        <v>137</v>
      </c>
      <c r="E30" s="22" t="s">
        <v>271</v>
      </c>
      <c r="F30" s="23" t="s">
        <v>127</v>
      </c>
      <c r="G30" s="1"/>
      <c r="H30" s="1"/>
      <c r="I30" s="1"/>
      <c r="J30" s="1"/>
      <c r="K30" s="1"/>
      <c r="L30" s="1"/>
      <c r="M30" s="34">
        <v>30016</v>
      </c>
      <c r="N30" s="35" t="s">
        <v>272</v>
      </c>
      <c r="O30" s="1"/>
      <c r="P30" s="1"/>
      <c r="Q30" s="52" t="s">
        <v>128</v>
      </c>
      <c r="R30" s="1"/>
      <c r="S30" s="1"/>
      <c r="T30" s="1"/>
      <c r="U30" s="1"/>
      <c r="V30" s="1"/>
      <c r="W30" s="1"/>
      <c r="X30" s="1"/>
      <c r="Y30" s="1"/>
      <c r="Z30" s="1"/>
      <c r="AA30" s="11"/>
      <c r="AB30" s="11"/>
      <c r="AC30" s="1"/>
      <c r="AD30" s="1"/>
      <c r="AE30" s="11"/>
      <c r="AF30" s="11"/>
      <c r="AG30" s="1"/>
      <c r="AH30" s="11"/>
      <c r="AI30" s="11"/>
      <c r="AJ30" s="1"/>
      <c r="AK30" s="1"/>
      <c r="AL30" s="11"/>
      <c r="AM30" s="11"/>
      <c r="AN30" s="1"/>
      <c r="AO30" s="1"/>
      <c r="AP30" s="1"/>
    </row>
    <row x14ac:dyDescent="0.25" r="31" customHeight="1" ht="18.75">
      <c r="A31" s="19">
        <f>+LEN(E31)</f>
      </c>
      <c r="B31" s="20" t="s">
        <v>273</v>
      </c>
      <c r="C31" s="21" t="s">
        <v>274</v>
      </c>
      <c r="D31" s="21" t="s">
        <v>137</v>
      </c>
      <c r="E31" s="22" t="s">
        <v>275</v>
      </c>
      <c r="F31" s="23" t="s">
        <v>127</v>
      </c>
      <c r="G31" s="1"/>
      <c r="H31" s="1"/>
      <c r="I31" s="1"/>
      <c r="J31" s="1"/>
      <c r="K31" s="1"/>
      <c r="L31" s="1"/>
      <c r="M31" s="27">
        <v>30017</v>
      </c>
      <c r="N31" s="28" t="s">
        <v>276</v>
      </c>
      <c r="O31" s="1"/>
      <c r="P31" s="1"/>
      <c r="Q31" s="11"/>
      <c r="R31" s="1"/>
      <c r="S31" s="1"/>
      <c r="T31" s="1"/>
      <c r="U31" s="1"/>
      <c r="V31" s="1"/>
      <c r="W31" s="1"/>
      <c r="X31" s="1"/>
      <c r="Y31" s="1"/>
      <c r="Z31" s="1"/>
      <c r="AA31" s="11"/>
      <c r="AB31" s="11"/>
      <c r="AC31" s="1"/>
      <c r="AD31" s="1"/>
      <c r="AE31" s="11"/>
      <c r="AF31" s="11"/>
      <c r="AG31" s="1"/>
      <c r="AH31" s="11"/>
      <c r="AI31" s="11"/>
      <c r="AJ31" s="1"/>
      <c r="AK31" s="1"/>
      <c r="AL31" s="11"/>
      <c r="AM31" s="11"/>
      <c r="AN31" s="1"/>
      <c r="AO31" s="1"/>
      <c r="AP31" s="1"/>
    </row>
    <row x14ac:dyDescent="0.25" r="32" customHeight="1" ht="18.75">
      <c r="A32" s="19">
        <f>+LEN(E32)</f>
      </c>
      <c r="B32" s="20" t="s">
        <v>277</v>
      </c>
      <c r="C32" s="21" t="s">
        <v>278</v>
      </c>
      <c r="D32" s="21" t="s">
        <v>137</v>
      </c>
      <c r="E32" s="22" t="s">
        <v>279</v>
      </c>
      <c r="F32" s="23" t="s">
        <v>127</v>
      </c>
      <c r="G32" s="1"/>
      <c r="H32" s="1"/>
      <c r="I32" s="1"/>
      <c r="J32" s="1"/>
      <c r="K32" s="1"/>
      <c r="L32" s="1"/>
      <c r="M32" s="34">
        <v>30018</v>
      </c>
      <c r="N32" s="35" t="s">
        <v>280</v>
      </c>
      <c r="O32" s="1"/>
      <c r="P32" s="1"/>
      <c r="Q32" s="11"/>
      <c r="R32" s="1"/>
      <c r="S32" s="1"/>
      <c r="T32" s="1"/>
      <c r="U32" s="1"/>
      <c r="V32" s="1"/>
      <c r="W32" s="1"/>
      <c r="X32" s="1"/>
      <c r="Y32" s="1"/>
      <c r="Z32" s="1"/>
      <c r="AA32" s="11"/>
      <c r="AB32" s="11"/>
      <c r="AC32" s="1"/>
      <c r="AD32" s="1"/>
      <c r="AE32" s="11"/>
      <c r="AF32" s="11"/>
      <c r="AG32" s="1"/>
      <c r="AH32" s="11"/>
      <c r="AI32" s="11"/>
      <c r="AJ32" s="1"/>
      <c r="AK32" s="1"/>
      <c r="AL32" s="11"/>
      <c r="AM32" s="11"/>
      <c r="AN32" s="1"/>
      <c r="AO32" s="1"/>
      <c r="AP32" s="1"/>
    </row>
    <row x14ac:dyDescent="0.25" r="33" customHeight="1" ht="18.75">
      <c r="A33" s="19">
        <f>+LEN(E33)</f>
      </c>
      <c r="B33" s="20" t="s">
        <v>281</v>
      </c>
      <c r="C33" s="21" t="s">
        <v>282</v>
      </c>
      <c r="D33" s="21" t="s">
        <v>137</v>
      </c>
      <c r="E33" s="22" t="s">
        <v>283</v>
      </c>
      <c r="F33" s="23" t="s">
        <v>127</v>
      </c>
      <c r="G33" s="1"/>
      <c r="H33" s="1"/>
      <c r="I33" s="1"/>
      <c r="J33" s="1"/>
      <c r="K33" s="1"/>
      <c r="L33" s="1"/>
      <c r="M33" s="27">
        <v>40001</v>
      </c>
      <c r="N33" s="28" t="s">
        <v>284</v>
      </c>
      <c r="O33" s="1"/>
      <c r="P33" s="1"/>
      <c r="Q33" s="11"/>
      <c r="R33" s="1"/>
      <c r="S33" s="1"/>
      <c r="T33" s="1"/>
      <c r="U33" s="1"/>
      <c r="V33" s="1"/>
      <c r="W33" s="1"/>
      <c r="X33" s="1"/>
      <c r="Y33" s="1"/>
      <c r="Z33" s="1"/>
      <c r="AA33" s="11"/>
      <c r="AB33" s="11"/>
      <c r="AC33" s="1"/>
      <c r="AD33" s="1"/>
      <c r="AE33" s="11"/>
      <c r="AF33" s="11"/>
      <c r="AG33" s="1"/>
      <c r="AH33" s="11"/>
      <c r="AI33" s="11"/>
      <c r="AJ33" s="1"/>
      <c r="AK33" s="1"/>
      <c r="AL33" s="11"/>
      <c r="AM33" s="11"/>
      <c r="AN33" s="1"/>
      <c r="AO33" s="1"/>
      <c r="AP33" s="1"/>
    </row>
    <row x14ac:dyDescent="0.25" r="34" customHeight="1" ht="18.75">
      <c r="A34" s="19">
        <f>+LEN(E34)</f>
      </c>
      <c r="B34" s="20" t="s">
        <v>285</v>
      </c>
      <c r="C34" s="21" t="s">
        <v>286</v>
      </c>
      <c r="D34" s="21" t="s">
        <v>137</v>
      </c>
      <c r="E34" s="22" t="s">
        <v>287</v>
      </c>
      <c r="F34" s="23" t="s">
        <v>127</v>
      </c>
      <c r="G34" s="1"/>
      <c r="H34" s="1"/>
      <c r="I34" s="1"/>
      <c r="J34" s="1"/>
      <c r="K34" s="1"/>
      <c r="L34" s="1"/>
      <c r="M34" s="34">
        <v>40002</v>
      </c>
      <c r="N34" s="35" t="s">
        <v>288</v>
      </c>
      <c r="O34" s="1"/>
      <c r="P34" s="1"/>
      <c r="Q34" s="18" t="s">
        <v>289</v>
      </c>
      <c r="R34" s="1"/>
      <c r="S34" s="1"/>
      <c r="T34" s="1"/>
      <c r="U34" s="1"/>
      <c r="V34" s="1"/>
      <c r="W34" s="1"/>
      <c r="X34" s="1"/>
      <c r="Y34" s="1"/>
      <c r="Z34" s="1"/>
      <c r="AA34" s="11"/>
      <c r="AB34" s="11"/>
      <c r="AC34" s="1"/>
      <c r="AD34" s="1"/>
      <c r="AE34" s="11"/>
      <c r="AF34" s="11"/>
      <c r="AG34" s="1"/>
      <c r="AH34" s="11"/>
      <c r="AI34" s="11"/>
      <c r="AJ34" s="1"/>
      <c r="AK34" s="1"/>
      <c r="AL34" s="11"/>
      <c r="AM34" s="11"/>
      <c r="AN34" s="1"/>
      <c r="AO34" s="1"/>
      <c r="AP34" s="1"/>
    </row>
    <row x14ac:dyDescent="0.25" r="35" customHeight="1" ht="18.75">
      <c r="A35" s="19">
        <f>+LEN(E35)</f>
      </c>
      <c r="B35" s="20" t="s">
        <v>290</v>
      </c>
      <c r="C35" s="21" t="s">
        <v>291</v>
      </c>
      <c r="D35" s="21" t="s">
        <v>165</v>
      </c>
      <c r="E35" s="22" t="s">
        <v>292</v>
      </c>
      <c r="F35" s="23" t="s">
        <v>127</v>
      </c>
      <c r="G35" s="1"/>
      <c r="H35" s="1"/>
      <c r="I35" s="1"/>
      <c r="J35" s="1"/>
      <c r="K35" s="1"/>
      <c r="L35" s="1"/>
      <c r="M35" s="27">
        <v>40003</v>
      </c>
      <c r="N35" s="28" t="s">
        <v>94</v>
      </c>
      <c r="O35" s="1"/>
      <c r="P35" s="1"/>
      <c r="Q35" s="18" t="s">
        <v>293</v>
      </c>
      <c r="R35" s="1"/>
      <c r="S35" s="1"/>
      <c r="T35" s="1"/>
      <c r="U35" s="1"/>
      <c r="V35" s="1"/>
      <c r="W35" s="1"/>
      <c r="X35" s="1"/>
      <c r="Y35" s="1"/>
      <c r="Z35" s="1"/>
      <c r="AA35" s="11"/>
      <c r="AB35" s="11"/>
      <c r="AC35" s="1"/>
      <c r="AD35" s="1"/>
      <c r="AE35" s="11"/>
      <c r="AF35" s="11"/>
      <c r="AG35" s="1"/>
      <c r="AH35" s="11"/>
      <c r="AI35" s="11"/>
      <c r="AJ35" s="1"/>
      <c r="AK35" s="1"/>
      <c r="AL35" s="11"/>
      <c r="AM35" s="11"/>
      <c r="AN35" s="1"/>
      <c r="AO35" s="1"/>
      <c r="AP35" s="1"/>
    </row>
    <row x14ac:dyDescent="0.25" r="36" customHeight="1" ht="18.75">
      <c r="A36" s="19">
        <f>+LEN(E36)</f>
      </c>
      <c r="B36" s="20" t="s">
        <v>294</v>
      </c>
      <c r="C36" s="21" t="s">
        <v>295</v>
      </c>
      <c r="D36" s="21" t="s">
        <v>137</v>
      </c>
      <c r="E36" s="22" t="s">
        <v>296</v>
      </c>
      <c r="F36" s="23" t="s">
        <v>127</v>
      </c>
      <c r="G36" s="1"/>
      <c r="H36" s="1"/>
      <c r="I36" s="1"/>
      <c r="J36" s="1"/>
      <c r="K36" s="1"/>
      <c r="L36" s="1"/>
      <c r="M36" s="34">
        <v>40004</v>
      </c>
      <c r="N36" s="35" t="s">
        <v>297</v>
      </c>
      <c r="O36" s="1"/>
      <c r="P36" s="1"/>
      <c r="Q36" s="18" t="s">
        <v>123</v>
      </c>
      <c r="R36" s="1"/>
      <c r="S36" s="1"/>
      <c r="T36" s="1"/>
      <c r="U36" s="1"/>
      <c r="V36" s="1"/>
      <c r="W36" s="1"/>
      <c r="X36" s="1"/>
      <c r="Y36" s="1"/>
      <c r="Z36" s="1"/>
      <c r="AA36" s="11"/>
      <c r="AB36" s="11"/>
      <c r="AC36" s="1"/>
      <c r="AD36" s="1"/>
      <c r="AE36" s="11"/>
      <c r="AF36" s="11"/>
      <c r="AG36" s="1"/>
      <c r="AH36" s="11"/>
      <c r="AI36" s="11"/>
      <c r="AJ36" s="1"/>
      <c r="AK36" s="1"/>
      <c r="AL36" s="11"/>
      <c r="AM36" s="11"/>
      <c r="AN36" s="1"/>
      <c r="AO36" s="1"/>
      <c r="AP36" s="1"/>
    </row>
    <row x14ac:dyDescent="0.25" r="37" customHeight="1" ht="18.75">
      <c r="A37" s="19">
        <f>+LEN(E37)</f>
      </c>
      <c r="B37" s="20" t="s">
        <v>298</v>
      </c>
      <c r="C37" s="21" t="s">
        <v>299</v>
      </c>
      <c r="D37" s="21" t="s">
        <v>137</v>
      </c>
      <c r="E37" s="22" t="s">
        <v>300</v>
      </c>
      <c r="F37" s="23" t="s">
        <v>127</v>
      </c>
      <c r="G37" s="1"/>
      <c r="H37" s="1"/>
      <c r="I37" s="1"/>
      <c r="J37" s="1"/>
      <c r="K37" s="1"/>
      <c r="L37" s="1"/>
      <c r="M37" s="27">
        <v>40005</v>
      </c>
      <c r="N37" s="28" t="s">
        <v>301</v>
      </c>
      <c r="O37" s="1"/>
      <c r="P37" s="1"/>
      <c r="Q37" s="18" t="s">
        <v>302</v>
      </c>
      <c r="R37" s="1"/>
      <c r="S37" s="1"/>
      <c r="T37" s="1"/>
      <c r="U37" s="1"/>
      <c r="V37" s="1"/>
      <c r="W37" s="1"/>
      <c r="X37" s="1"/>
      <c r="Y37" s="1"/>
      <c r="Z37" s="1"/>
      <c r="AA37" s="11"/>
      <c r="AB37" s="11"/>
      <c r="AC37" s="1"/>
      <c r="AD37" s="1"/>
      <c r="AE37" s="11"/>
      <c r="AF37" s="11"/>
      <c r="AG37" s="1"/>
      <c r="AH37" s="11"/>
      <c r="AI37" s="11"/>
      <c r="AJ37" s="1"/>
      <c r="AK37" s="1"/>
      <c r="AL37" s="11"/>
      <c r="AM37" s="11"/>
      <c r="AN37" s="1"/>
      <c r="AO37" s="1"/>
      <c r="AP37" s="1"/>
    </row>
    <row x14ac:dyDescent="0.25" r="38" customHeight="1" ht="18.75">
      <c r="A38" s="19">
        <f>+LEN(E38)</f>
      </c>
      <c r="B38" s="20" t="s">
        <v>303</v>
      </c>
      <c r="C38" s="21" t="s">
        <v>304</v>
      </c>
      <c r="D38" s="21" t="s">
        <v>137</v>
      </c>
      <c r="E38" s="22" t="s">
        <v>305</v>
      </c>
      <c r="F38" s="23" t="s">
        <v>127</v>
      </c>
      <c r="G38" s="1"/>
      <c r="H38" s="1"/>
      <c r="I38" s="1"/>
      <c r="J38" s="1"/>
      <c r="K38" s="1"/>
      <c r="L38" s="1"/>
      <c r="M38" s="34">
        <v>40006</v>
      </c>
      <c r="N38" s="35" t="s">
        <v>306</v>
      </c>
      <c r="O38" s="1"/>
      <c r="P38" s="1"/>
      <c r="Q38" s="18" t="s">
        <v>307</v>
      </c>
      <c r="R38" s="1"/>
      <c r="S38" s="1"/>
      <c r="T38" s="1"/>
      <c r="U38" s="1"/>
      <c r="V38" s="1"/>
      <c r="W38" s="1"/>
      <c r="X38" s="1"/>
      <c r="Y38" s="1"/>
      <c r="Z38" s="1"/>
      <c r="AA38" s="11"/>
      <c r="AB38" s="11"/>
      <c r="AC38" s="1"/>
      <c r="AD38" s="1"/>
      <c r="AE38" s="11"/>
      <c r="AF38" s="11"/>
      <c r="AG38" s="1"/>
      <c r="AH38" s="11"/>
      <c r="AI38" s="11"/>
      <c r="AJ38" s="1"/>
      <c r="AK38" s="1"/>
      <c r="AL38" s="11"/>
      <c r="AM38" s="11"/>
      <c r="AN38" s="1"/>
      <c r="AO38" s="1"/>
      <c r="AP38" s="1"/>
    </row>
    <row x14ac:dyDescent="0.25" r="39" customHeight="1" ht="18.75">
      <c r="A39" s="19">
        <f>+LEN(E39)</f>
      </c>
      <c r="B39" s="20" t="s">
        <v>308</v>
      </c>
      <c r="C39" s="21" t="s">
        <v>309</v>
      </c>
      <c r="D39" s="21" t="s">
        <v>137</v>
      </c>
      <c r="E39" s="22" t="s">
        <v>310</v>
      </c>
      <c r="F39" s="23" t="s">
        <v>127</v>
      </c>
      <c r="G39" s="1"/>
      <c r="H39" s="1"/>
      <c r="I39" s="1"/>
      <c r="J39" s="1"/>
      <c r="K39" s="1"/>
      <c r="L39" s="1"/>
      <c r="M39" s="27">
        <v>40007</v>
      </c>
      <c r="N39" s="28" t="s">
        <v>311</v>
      </c>
      <c r="O39" s="1"/>
      <c r="P39" s="1"/>
      <c r="Q39" s="18" t="s">
        <v>312</v>
      </c>
      <c r="R39" s="1"/>
      <c r="S39" s="1"/>
      <c r="T39" s="1"/>
      <c r="U39" s="1"/>
      <c r="V39" s="1"/>
      <c r="W39" s="1"/>
      <c r="X39" s="1"/>
      <c r="Y39" s="1"/>
      <c r="Z39" s="1"/>
      <c r="AA39" s="11"/>
      <c r="AB39" s="11"/>
      <c r="AC39" s="1"/>
      <c r="AD39" s="1"/>
      <c r="AE39" s="11"/>
      <c r="AF39" s="11"/>
      <c r="AG39" s="1"/>
      <c r="AH39" s="11"/>
      <c r="AI39" s="11"/>
      <c r="AJ39" s="1"/>
      <c r="AK39" s="1"/>
      <c r="AL39" s="11"/>
      <c r="AM39" s="11"/>
      <c r="AN39" s="1"/>
      <c r="AO39" s="1"/>
      <c r="AP39" s="1"/>
    </row>
    <row x14ac:dyDescent="0.25" r="40" customHeight="1" ht="18.75">
      <c r="A40" s="19">
        <f>+LEN(E40)</f>
      </c>
      <c r="B40" s="20" t="s">
        <v>313</v>
      </c>
      <c r="C40" s="21" t="s">
        <v>314</v>
      </c>
      <c r="D40" s="21" t="s">
        <v>137</v>
      </c>
      <c r="E40" s="22" t="s">
        <v>315</v>
      </c>
      <c r="F40" s="23" t="s">
        <v>127</v>
      </c>
      <c r="G40" s="1"/>
      <c r="H40" s="1"/>
      <c r="I40" s="1"/>
      <c r="J40" s="1"/>
      <c r="K40" s="1"/>
      <c r="L40" s="1"/>
      <c r="M40" s="34">
        <v>40008</v>
      </c>
      <c r="N40" s="35" t="s">
        <v>316</v>
      </c>
      <c r="O40" s="1"/>
      <c r="P40" s="1"/>
      <c r="Q40" s="18" t="s">
        <v>124</v>
      </c>
      <c r="R40" s="1"/>
      <c r="S40" s="1"/>
      <c r="T40" s="1"/>
      <c r="U40" s="1"/>
      <c r="V40" s="1"/>
      <c r="W40" s="1"/>
      <c r="X40" s="1"/>
      <c r="Y40" s="1"/>
      <c r="Z40" s="1"/>
      <c r="AA40" s="11"/>
      <c r="AB40" s="11"/>
      <c r="AC40" s="1"/>
      <c r="AD40" s="1"/>
      <c r="AE40" s="11"/>
      <c r="AF40" s="11"/>
      <c r="AG40" s="1"/>
      <c r="AH40" s="11"/>
      <c r="AI40" s="11"/>
      <c r="AJ40" s="1"/>
      <c r="AK40" s="1"/>
      <c r="AL40" s="11"/>
      <c r="AM40" s="11"/>
      <c r="AN40" s="1"/>
      <c r="AO40" s="1"/>
      <c r="AP40" s="1"/>
    </row>
    <row x14ac:dyDescent="0.25" r="41" customHeight="1" ht="18.75">
      <c r="A41" s="19">
        <f>+LEN(E41)</f>
      </c>
      <c r="B41" s="20" t="s">
        <v>317</v>
      </c>
      <c r="C41" s="21" t="s">
        <v>318</v>
      </c>
      <c r="D41" s="21" t="s">
        <v>137</v>
      </c>
      <c r="E41" s="22" t="s">
        <v>319</v>
      </c>
      <c r="F41" s="23" t="s">
        <v>127</v>
      </c>
      <c r="G41" s="1"/>
      <c r="H41" s="1"/>
      <c r="I41" s="1"/>
      <c r="J41" s="1"/>
      <c r="K41" s="1"/>
      <c r="L41" s="1"/>
      <c r="M41" s="27">
        <v>40009</v>
      </c>
      <c r="N41" s="53" t="s">
        <v>320</v>
      </c>
      <c r="O41" s="1"/>
      <c r="P41" s="1"/>
      <c r="Q41" s="11"/>
      <c r="R41" s="1"/>
      <c r="S41" s="1"/>
      <c r="T41" s="1"/>
      <c r="U41" s="1"/>
      <c r="V41" s="1"/>
      <c r="W41" s="1"/>
      <c r="X41" s="1"/>
      <c r="Y41" s="1"/>
      <c r="Z41" s="1"/>
      <c r="AA41" s="11"/>
      <c r="AB41" s="11"/>
      <c r="AC41" s="1"/>
      <c r="AD41" s="1"/>
      <c r="AE41" s="11"/>
      <c r="AF41" s="11"/>
      <c r="AG41" s="1"/>
      <c r="AH41" s="11"/>
      <c r="AI41" s="11"/>
      <c r="AJ41" s="1"/>
      <c r="AK41" s="1"/>
      <c r="AL41" s="11"/>
      <c r="AM41" s="11"/>
      <c r="AN41" s="1"/>
      <c r="AO41" s="1"/>
      <c r="AP41" s="1"/>
    </row>
    <row x14ac:dyDescent="0.25" r="42" customHeight="1" ht="18.75">
      <c r="A42" s="19">
        <f>+LEN(E42)</f>
      </c>
      <c r="B42" s="20" t="s">
        <v>321</v>
      </c>
      <c r="C42" s="21" t="s">
        <v>322</v>
      </c>
      <c r="D42" s="21" t="s">
        <v>165</v>
      </c>
      <c r="E42" s="22" t="s">
        <v>323</v>
      </c>
      <c r="F42" s="23" t="s">
        <v>127</v>
      </c>
      <c r="G42" s="1"/>
      <c r="H42" s="1"/>
      <c r="I42" s="1"/>
      <c r="J42" s="1"/>
      <c r="K42" s="1"/>
      <c r="L42" s="1"/>
      <c r="M42" s="34">
        <v>40010</v>
      </c>
      <c r="N42" s="35" t="s">
        <v>324</v>
      </c>
      <c r="O42" s="1"/>
      <c r="P42" s="1"/>
      <c r="Q42" s="11"/>
      <c r="R42" s="1"/>
      <c r="S42" s="1"/>
      <c r="T42" s="1"/>
      <c r="U42" s="1"/>
      <c r="V42" s="1"/>
      <c r="W42" s="1"/>
      <c r="X42" s="1"/>
      <c r="Y42" s="1"/>
      <c r="Z42" s="1"/>
      <c r="AA42" s="11"/>
      <c r="AB42" s="11"/>
      <c r="AC42" s="1"/>
      <c r="AD42" s="1"/>
      <c r="AE42" s="11"/>
      <c r="AF42" s="11"/>
      <c r="AG42" s="1"/>
      <c r="AH42" s="11"/>
      <c r="AI42" s="11"/>
      <c r="AJ42" s="1"/>
      <c r="AK42" s="1"/>
      <c r="AL42" s="11"/>
      <c r="AM42" s="11"/>
      <c r="AN42" s="1"/>
      <c r="AO42" s="1"/>
      <c r="AP42" s="1"/>
    </row>
    <row x14ac:dyDescent="0.25" r="43" customHeight="1" ht="18.75">
      <c r="A43" s="19">
        <f>+LEN(E43)</f>
      </c>
      <c r="B43" s="20" t="s">
        <v>325</v>
      </c>
      <c r="C43" s="21" t="s">
        <v>326</v>
      </c>
      <c r="D43" s="21" t="s">
        <v>165</v>
      </c>
      <c r="E43" s="22" t="s">
        <v>327</v>
      </c>
      <c r="F43" s="23" t="s">
        <v>127</v>
      </c>
      <c r="G43" s="1"/>
      <c r="H43" s="1"/>
      <c r="I43" s="1"/>
      <c r="J43" s="1"/>
      <c r="K43" s="1"/>
      <c r="L43" s="1"/>
      <c r="M43" s="27">
        <v>40011</v>
      </c>
      <c r="N43" s="28" t="s">
        <v>328</v>
      </c>
      <c r="O43" s="1"/>
      <c r="P43" s="1"/>
      <c r="Q43" s="11"/>
      <c r="R43" s="1"/>
      <c r="S43" s="1"/>
      <c r="T43" s="1"/>
      <c r="U43" s="1"/>
      <c r="V43" s="1"/>
      <c r="W43" s="1"/>
      <c r="X43" s="1"/>
      <c r="Y43" s="1"/>
      <c r="Z43" s="1"/>
      <c r="AA43" s="11"/>
      <c r="AB43" s="11"/>
      <c r="AC43" s="1"/>
      <c r="AD43" s="1"/>
      <c r="AE43" s="11"/>
      <c r="AF43" s="11"/>
      <c r="AG43" s="1"/>
      <c r="AH43" s="11"/>
      <c r="AI43" s="11"/>
      <c r="AJ43" s="1"/>
      <c r="AK43" s="1"/>
      <c r="AL43" s="11"/>
      <c r="AM43" s="11"/>
      <c r="AN43" s="1"/>
      <c r="AO43" s="1"/>
      <c r="AP43" s="1"/>
    </row>
    <row x14ac:dyDescent="0.25" r="44" customHeight="1" ht="18.75">
      <c r="A44" s="19">
        <f>+LEN(E44)</f>
      </c>
      <c r="B44" s="20" t="s">
        <v>329</v>
      </c>
      <c r="C44" s="21" t="s">
        <v>330</v>
      </c>
      <c r="D44" s="21" t="s">
        <v>137</v>
      </c>
      <c r="E44" s="22" t="s">
        <v>331</v>
      </c>
      <c r="F44" s="23" t="s">
        <v>127</v>
      </c>
      <c r="G44" s="1"/>
      <c r="H44" s="1"/>
      <c r="I44" s="1"/>
      <c r="J44" s="1"/>
      <c r="K44" s="1"/>
      <c r="L44" s="1"/>
      <c r="M44" s="34">
        <v>40012</v>
      </c>
      <c r="N44" s="35" t="s">
        <v>332</v>
      </c>
      <c r="O44" s="1"/>
      <c r="P44" s="1"/>
      <c r="Q44" s="11"/>
      <c r="R44" s="1"/>
      <c r="S44" s="1"/>
      <c r="T44" s="1"/>
      <c r="U44" s="1"/>
      <c r="V44" s="1"/>
      <c r="W44" s="1"/>
      <c r="X44" s="1"/>
      <c r="Y44" s="1"/>
      <c r="Z44" s="1"/>
      <c r="AA44" s="11"/>
      <c r="AB44" s="11"/>
      <c r="AC44" s="1"/>
      <c r="AD44" s="1"/>
      <c r="AE44" s="11"/>
      <c r="AF44" s="11"/>
      <c r="AG44" s="1"/>
      <c r="AH44" s="11"/>
      <c r="AI44" s="11"/>
      <c r="AJ44" s="1"/>
      <c r="AK44" s="1"/>
      <c r="AL44" s="11"/>
      <c r="AM44" s="11"/>
      <c r="AN44" s="1"/>
      <c r="AO44" s="1"/>
      <c r="AP44" s="1"/>
    </row>
    <row x14ac:dyDescent="0.25" r="45" customHeight="1" ht="18.75">
      <c r="A45" s="19">
        <f>+LEN(E45)</f>
      </c>
      <c r="B45" s="20" t="s">
        <v>333</v>
      </c>
      <c r="C45" s="21" t="s">
        <v>334</v>
      </c>
      <c r="D45" s="21" t="s">
        <v>165</v>
      </c>
      <c r="E45" s="22" t="s">
        <v>335</v>
      </c>
      <c r="F45" s="23" t="s">
        <v>127</v>
      </c>
      <c r="G45" s="1"/>
      <c r="H45" s="1"/>
      <c r="I45" s="1"/>
      <c r="J45" s="1"/>
      <c r="K45" s="1"/>
      <c r="L45" s="1"/>
      <c r="M45" s="27">
        <v>40013</v>
      </c>
      <c r="N45" s="28" t="s">
        <v>336</v>
      </c>
      <c r="O45" s="1"/>
      <c r="P45" s="1"/>
      <c r="Q45" s="11"/>
      <c r="R45" s="1"/>
      <c r="S45" s="1"/>
      <c r="T45" s="1"/>
      <c r="U45" s="1"/>
      <c r="V45" s="1"/>
      <c r="W45" s="1"/>
      <c r="X45" s="1"/>
      <c r="Y45" s="1"/>
      <c r="Z45" s="1"/>
      <c r="AA45" s="11"/>
      <c r="AB45" s="11"/>
      <c r="AC45" s="1"/>
      <c r="AD45" s="1"/>
      <c r="AE45" s="11"/>
      <c r="AF45" s="11"/>
      <c r="AG45" s="1"/>
      <c r="AH45" s="11"/>
      <c r="AI45" s="11"/>
      <c r="AJ45" s="1"/>
      <c r="AK45" s="1"/>
      <c r="AL45" s="11"/>
      <c r="AM45" s="11"/>
      <c r="AN45" s="1"/>
      <c r="AO45" s="1"/>
      <c r="AP45" s="1"/>
    </row>
    <row x14ac:dyDescent="0.25" r="46" customHeight="1" ht="18.75">
      <c r="A46" s="19">
        <f>+LEN(E46)</f>
      </c>
      <c r="B46" s="20" t="s">
        <v>337</v>
      </c>
      <c r="C46" s="21" t="s">
        <v>338</v>
      </c>
      <c r="D46" s="21" t="s">
        <v>137</v>
      </c>
      <c r="E46" s="22" t="s">
        <v>339</v>
      </c>
      <c r="F46" s="23" t="s">
        <v>127</v>
      </c>
      <c r="G46" s="1"/>
      <c r="H46" s="1"/>
      <c r="I46" s="1"/>
      <c r="J46" s="1"/>
      <c r="K46" s="1"/>
      <c r="L46" s="1"/>
      <c r="M46" s="34">
        <v>40014</v>
      </c>
      <c r="N46" s="35" t="s">
        <v>340</v>
      </c>
      <c r="O46" s="1"/>
      <c r="P46" s="1"/>
      <c r="Q46" s="11"/>
      <c r="R46" s="1"/>
      <c r="S46" s="1"/>
      <c r="T46" s="1"/>
      <c r="U46" s="1"/>
      <c r="V46" s="1"/>
      <c r="W46" s="1"/>
      <c r="X46" s="1"/>
      <c r="Y46" s="1"/>
      <c r="Z46" s="1"/>
      <c r="AA46" s="11"/>
      <c r="AB46" s="11"/>
      <c r="AC46" s="1"/>
      <c r="AD46" s="1"/>
      <c r="AE46" s="11"/>
      <c r="AF46" s="11"/>
      <c r="AG46" s="1"/>
      <c r="AH46" s="11"/>
      <c r="AI46" s="11"/>
      <c r="AJ46" s="1"/>
      <c r="AK46" s="1"/>
      <c r="AL46" s="11"/>
      <c r="AM46" s="11"/>
      <c r="AN46" s="1"/>
      <c r="AO46" s="1"/>
      <c r="AP46" s="1"/>
    </row>
    <row x14ac:dyDescent="0.25" r="47" customHeight="1" ht="18.75">
      <c r="A47" s="19">
        <f>+LEN(E47)</f>
      </c>
      <c r="B47" s="20" t="s">
        <v>341</v>
      </c>
      <c r="C47" s="21" t="s">
        <v>342</v>
      </c>
      <c r="D47" s="21" t="s">
        <v>137</v>
      </c>
      <c r="E47" s="22" t="s">
        <v>343</v>
      </c>
      <c r="F47" s="23" t="s">
        <v>127</v>
      </c>
      <c r="G47" s="1"/>
      <c r="H47" s="1"/>
      <c r="I47" s="1"/>
      <c r="J47" s="1"/>
      <c r="K47" s="1"/>
      <c r="L47" s="1"/>
      <c r="M47" s="27">
        <v>40015</v>
      </c>
      <c r="N47" s="28" t="s">
        <v>344</v>
      </c>
      <c r="O47" s="1"/>
      <c r="P47" s="1"/>
      <c r="Q47" s="18" t="s">
        <v>345</v>
      </c>
      <c r="R47" s="1"/>
      <c r="S47" s="1"/>
      <c r="T47" s="1"/>
      <c r="U47" s="1"/>
      <c r="V47" s="1"/>
      <c r="W47" s="1"/>
      <c r="X47" s="1"/>
      <c r="Y47" s="1"/>
      <c r="Z47" s="1"/>
      <c r="AA47" s="11"/>
      <c r="AB47" s="11"/>
      <c r="AC47" s="1"/>
      <c r="AD47" s="1"/>
      <c r="AE47" s="11"/>
      <c r="AF47" s="11"/>
      <c r="AG47" s="1"/>
      <c r="AH47" s="11"/>
      <c r="AI47" s="11"/>
      <c r="AJ47" s="1"/>
      <c r="AK47" s="1"/>
      <c r="AL47" s="11"/>
      <c r="AM47" s="11"/>
      <c r="AN47" s="1"/>
      <c r="AO47" s="1"/>
      <c r="AP47" s="1"/>
    </row>
    <row x14ac:dyDescent="0.25" r="48" customHeight="1" ht="18.75">
      <c r="A48" s="19">
        <f>+LEN(E48)</f>
      </c>
      <c r="B48" s="20" t="s">
        <v>346</v>
      </c>
      <c r="C48" s="21" t="s">
        <v>347</v>
      </c>
      <c r="D48" s="21" t="s">
        <v>137</v>
      </c>
      <c r="E48" s="22" t="s">
        <v>348</v>
      </c>
      <c r="F48" s="23" t="s">
        <v>127</v>
      </c>
      <c r="G48" s="1"/>
      <c r="H48" s="1"/>
      <c r="I48" s="1"/>
      <c r="J48" s="1"/>
      <c r="K48" s="1"/>
      <c r="L48" s="1"/>
      <c r="M48" s="34">
        <v>40016</v>
      </c>
      <c r="N48" s="35" t="s">
        <v>349</v>
      </c>
      <c r="O48" s="1"/>
      <c r="P48" s="1"/>
      <c r="Q48" s="18" t="s">
        <v>350</v>
      </c>
      <c r="R48" s="1"/>
      <c r="S48" s="1"/>
      <c r="T48" s="1"/>
      <c r="U48" s="1"/>
      <c r="V48" s="1"/>
      <c r="W48" s="1"/>
      <c r="X48" s="1"/>
      <c r="Y48" s="1"/>
      <c r="Z48" s="1"/>
      <c r="AA48" s="11"/>
      <c r="AB48" s="11"/>
      <c r="AC48" s="1"/>
      <c r="AD48" s="1"/>
      <c r="AE48" s="11"/>
      <c r="AF48" s="11"/>
      <c r="AG48" s="1"/>
      <c r="AH48" s="11"/>
      <c r="AI48" s="11"/>
      <c r="AJ48" s="1"/>
      <c r="AK48" s="1"/>
      <c r="AL48" s="11"/>
      <c r="AM48" s="11"/>
      <c r="AN48" s="1"/>
      <c r="AO48" s="1"/>
      <c r="AP48" s="1"/>
    </row>
    <row x14ac:dyDescent="0.25" r="49" customHeight="1" ht="18.75">
      <c r="A49" s="19">
        <f>+LEN(E49)</f>
      </c>
      <c r="B49" s="20" t="s">
        <v>351</v>
      </c>
      <c r="C49" s="21" t="s">
        <v>352</v>
      </c>
      <c r="D49" s="21" t="s">
        <v>137</v>
      </c>
      <c r="E49" s="22" t="s">
        <v>353</v>
      </c>
      <c r="F49" s="23" t="s">
        <v>127</v>
      </c>
      <c r="G49" s="1"/>
      <c r="H49" s="1"/>
      <c r="I49" s="1"/>
      <c r="J49" s="1"/>
      <c r="K49" s="1"/>
      <c r="L49" s="1"/>
      <c r="M49" s="27">
        <v>40017</v>
      </c>
      <c r="N49" s="28" t="s">
        <v>354</v>
      </c>
      <c r="O49" s="1"/>
      <c r="P49" s="1"/>
      <c r="Q49" s="18" t="s">
        <v>355</v>
      </c>
      <c r="R49" s="1"/>
      <c r="S49" s="1"/>
      <c r="T49" s="1"/>
      <c r="U49" s="1"/>
      <c r="V49" s="1"/>
      <c r="W49" s="1"/>
      <c r="X49" s="1"/>
      <c r="Y49" s="1"/>
      <c r="Z49" s="1"/>
      <c r="AA49" s="11"/>
      <c r="AB49" s="11"/>
      <c r="AC49" s="1"/>
      <c r="AD49" s="1"/>
      <c r="AE49" s="11"/>
      <c r="AF49" s="11"/>
      <c r="AG49" s="1"/>
      <c r="AH49" s="11"/>
      <c r="AI49" s="11"/>
      <c r="AJ49" s="1"/>
      <c r="AK49" s="1"/>
      <c r="AL49" s="11"/>
      <c r="AM49" s="11"/>
      <c r="AN49" s="1"/>
      <c r="AO49" s="1"/>
      <c r="AP49" s="1"/>
    </row>
    <row x14ac:dyDescent="0.25" r="50" customHeight="1" ht="18.75">
      <c r="A50" s="19">
        <f>+LEN(E50)</f>
      </c>
      <c r="B50" s="20" t="s">
        <v>356</v>
      </c>
      <c r="C50" s="21" t="s">
        <v>357</v>
      </c>
      <c r="D50" s="21" t="s">
        <v>137</v>
      </c>
      <c r="E50" s="22" t="s">
        <v>358</v>
      </c>
      <c r="F50" s="23" t="s">
        <v>127</v>
      </c>
      <c r="G50" s="1"/>
      <c r="H50" s="1"/>
      <c r="I50" s="1"/>
      <c r="J50" s="1"/>
      <c r="K50" s="1"/>
      <c r="L50" s="1"/>
      <c r="M50" s="34">
        <v>40018</v>
      </c>
      <c r="N50" s="35" t="s">
        <v>359</v>
      </c>
      <c r="O50" s="1"/>
      <c r="P50" s="1"/>
      <c r="Q50" s="11"/>
      <c r="R50" s="1"/>
      <c r="S50" s="1"/>
      <c r="T50" s="1"/>
      <c r="U50" s="1"/>
      <c r="V50" s="1"/>
      <c r="W50" s="1"/>
      <c r="X50" s="1"/>
      <c r="Y50" s="1"/>
      <c r="Z50" s="1"/>
      <c r="AA50" s="11"/>
      <c r="AB50" s="11"/>
      <c r="AC50" s="1"/>
      <c r="AD50" s="1"/>
      <c r="AE50" s="11"/>
      <c r="AF50" s="11"/>
      <c r="AG50" s="1"/>
      <c r="AH50" s="11"/>
      <c r="AI50" s="11"/>
      <c r="AJ50" s="1"/>
      <c r="AK50" s="1"/>
      <c r="AL50" s="11"/>
      <c r="AM50" s="11"/>
      <c r="AN50" s="1"/>
      <c r="AO50" s="1"/>
      <c r="AP50" s="1"/>
    </row>
    <row x14ac:dyDescent="0.25" r="51" customHeight="1" ht="18.75">
      <c r="A51" s="19">
        <f>+LEN(E51)</f>
      </c>
      <c r="B51" s="54">
        <v>47129404</v>
      </c>
      <c r="C51" s="21" t="s">
        <v>360</v>
      </c>
      <c r="D51" s="21" t="s">
        <v>137</v>
      </c>
      <c r="E51" s="22" t="s">
        <v>361</v>
      </c>
      <c r="F51" s="23" t="s">
        <v>127</v>
      </c>
      <c r="G51" s="1"/>
      <c r="H51" s="1"/>
      <c r="I51" s="1"/>
      <c r="J51" s="1"/>
      <c r="K51" s="1"/>
      <c r="L51" s="1"/>
      <c r="M51" s="27">
        <v>40019</v>
      </c>
      <c r="N51" s="28" t="s">
        <v>362</v>
      </c>
      <c r="O51" s="1"/>
      <c r="P51" s="1"/>
      <c r="Q51" s="11"/>
      <c r="R51" s="1"/>
      <c r="S51" s="1"/>
      <c r="T51" s="1"/>
      <c r="U51" s="1"/>
      <c r="V51" s="1"/>
      <c r="W51" s="1"/>
      <c r="X51" s="1"/>
      <c r="Y51" s="1"/>
      <c r="Z51" s="1"/>
      <c r="AA51" s="11"/>
      <c r="AB51" s="11"/>
      <c r="AC51" s="1"/>
      <c r="AD51" s="1"/>
      <c r="AE51" s="11"/>
      <c r="AF51" s="11"/>
      <c r="AG51" s="1"/>
      <c r="AH51" s="11"/>
      <c r="AI51" s="11"/>
      <c r="AJ51" s="1"/>
      <c r="AK51" s="1"/>
      <c r="AL51" s="11"/>
      <c r="AM51" s="11"/>
      <c r="AN51" s="1"/>
      <c r="AO51" s="1"/>
      <c r="AP51" s="1"/>
    </row>
    <row x14ac:dyDescent="0.25" r="52" customHeight="1" ht="18.75">
      <c r="A52" s="19">
        <f>+LEN(E52)</f>
      </c>
      <c r="B52" s="20" t="s">
        <v>363</v>
      </c>
      <c r="C52" s="21" t="s">
        <v>364</v>
      </c>
      <c r="D52" s="21" t="s">
        <v>137</v>
      </c>
      <c r="E52" s="22" t="s">
        <v>365</v>
      </c>
      <c r="F52" s="23" t="s">
        <v>127</v>
      </c>
      <c r="G52" s="1"/>
      <c r="H52" s="1"/>
      <c r="I52" s="1"/>
      <c r="J52" s="1"/>
      <c r="K52" s="1"/>
      <c r="L52" s="1"/>
      <c r="M52" s="34">
        <v>40020</v>
      </c>
      <c r="N52" s="35" t="s">
        <v>366</v>
      </c>
      <c r="O52" s="1"/>
      <c r="P52" s="1"/>
      <c r="Q52" s="11"/>
      <c r="R52" s="1"/>
      <c r="S52" s="1"/>
      <c r="T52" s="1"/>
      <c r="U52" s="1"/>
      <c r="V52" s="1"/>
      <c r="W52" s="1"/>
      <c r="X52" s="1"/>
      <c r="Y52" s="1"/>
      <c r="Z52" s="1"/>
      <c r="AA52" s="11"/>
      <c r="AB52" s="11"/>
      <c r="AC52" s="1"/>
      <c r="AD52" s="1"/>
      <c r="AE52" s="11"/>
      <c r="AF52" s="11"/>
      <c r="AG52" s="1"/>
      <c r="AH52" s="11"/>
      <c r="AI52" s="11"/>
      <c r="AJ52" s="1"/>
      <c r="AK52" s="1"/>
      <c r="AL52" s="11"/>
      <c r="AM52" s="11"/>
      <c r="AN52" s="1"/>
      <c r="AO52" s="1"/>
      <c r="AP52" s="1"/>
    </row>
    <row x14ac:dyDescent="0.25" r="53" customHeight="1" ht="18.75">
      <c r="A53" s="19">
        <f>+LEN(E53)</f>
      </c>
      <c r="B53" s="54">
        <v>70887469</v>
      </c>
      <c r="C53" s="21" t="s">
        <v>367</v>
      </c>
      <c r="D53" s="21" t="s">
        <v>137</v>
      </c>
      <c r="E53" s="22" t="s">
        <v>368</v>
      </c>
      <c r="F53" s="23" t="s">
        <v>127</v>
      </c>
      <c r="G53" s="1"/>
      <c r="H53" s="1"/>
      <c r="I53" s="1"/>
      <c r="J53" s="1"/>
      <c r="K53" s="1"/>
      <c r="L53" s="1"/>
      <c r="M53" s="27">
        <v>50101</v>
      </c>
      <c r="N53" s="28" t="s">
        <v>369</v>
      </c>
      <c r="O53" s="1"/>
      <c r="P53" s="1"/>
      <c r="Q53" s="11"/>
      <c r="R53" s="1"/>
      <c r="S53" s="1"/>
      <c r="T53" s="1"/>
      <c r="U53" s="1"/>
      <c r="V53" s="1"/>
      <c r="W53" s="1"/>
      <c r="X53" s="1"/>
      <c r="Y53" s="1"/>
      <c r="Z53" s="1"/>
      <c r="AA53" s="11"/>
      <c r="AB53" s="11"/>
      <c r="AC53" s="1"/>
      <c r="AD53" s="1"/>
      <c r="AE53" s="11"/>
      <c r="AF53" s="11"/>
      <c r="AG53" s="1"/>
      <c r="AH53" s="11"/>
      <c r="AI53" s="11"/>
      <c r="AJ53" s="1"/>
      <c r="AK53" s="1"/>
      <c r="AL53" s="11"/>
      <c r="AM53" s="11"/>
      <c r="AN53" s="1"/>
      <c r="AO53" s="1"/>
      <c r="AP53" s="1"/>
    </row>
    <row x14ac:dyDescent="0.25" r="54" customHeight="1" ht="18.75">
      <c r="A54" s="19">
        <f>+LEN(E54)</f>
      </c>
      <c r="B54" s="20" t="s">
        <v>370</v>
      </c>
      <c r="C54" s="21" t="s">
        <v>371</v>
      </c>
      <c r="D54" s="21" t="s">
        <v>165</v>
      </c>
      <c r="E54" s="22" t="s">
        <v>372</v>
      </c>
      <c r="F54" s="23" t="s">
        <v>127</v>
      </c>
      <c r="G54" s="1"/>
      <c r="H54" s="1"/>
      <c r="I54" s="1"/>
      <c r="J54" s="1"/>
      <c r="K54" s="1"/>
      <c r="L54" s="1"/>
      <c r="M54" s="34">
        <v>50102</v>
      </c>
      <c r="N54" s="35" t="s">
        <v>373</v>
      </c>
      <c r="O54" s="1"/>
      <c r="P54" s="1"/>
      <c r="Q54" s="11"/>
      <c r="R54" s="1"/>
      <c r="S54" s="1"/>
      <c r="T54" s="1"/>
      <c r="U54" s="1"/>
      <c r="V54" s="1"/>
      <c r="W54" s="1"/>
      <c r="X54" s="1"/>
      <c r="Y54" s="1"/>
      <c r="Z54" s="1"/>
      <c r="AA54" s="11"/>
      <c r="AB54" s="11"/>
      <c r="AC54" s="1"/>
      <c r="AD54" s="1"/>
      <c r="AE54" s="11"/>
      <c r="AF54" s="11"/>
      <c r="AG54" s="1"/>
      <c r="AH54" s="11"/>
      <c r="AI54" s="11"/>
      <c r="AJ54" s="1"/>
      <c r="AK54" s="1"/>
      <c r="AL54" s="11"/>
      <c r="AM54" s="11"/>
      <c r="AN54" s="1"/>
      <c r="AO54" s="1"/>
      <c r="AP54" s="1"/>
    </row>
    <row x14ac:dyDescent="0.25" r="55" customHeight="1" ht="18.75">
      <c r="A55" s="19">
        <f>+LEN(E55)</f>
      </c>
      <c r="B55" s="20" t="s">
        <v>374</v>
      </c>
      <c r="C55" s="21" t="s">
        <v>375</v>
      </c>
      <c r="D55" s="21" t="s">
        <v>165</v>
      </c>
      <c r="E55" s="22" t="s">
        <v>376</v>
      </c>
      <c r="F55" s="23" t="s">
        <v>127</v>
      </c>
      <c r="G55" s="1"/>
      <c r="H55" s="1"/>
      <c r="I55" s="1"/>
      <c r="J55" s="1"/>
      <c r="K55" s="1"/>
      <c r="L55" s="1"/>
      <c r="M55" s="27">
        <v>50103</v>
      </c>
      <c r="N55" s="28" t="s">
        <v>377</v>
      </c>
      <c r="O55" s="1"/>
      <c r="P55" s="1"/>
      <c r="Q55" s="11"/>
      <c r="R55" s="1"/>
      <c r="S55" s="1"/>
      <c r="T55" s="1"/>
      <c r="U55" s="1"/>
      <c r="V55" s="1"/>
      <c r="W55" s="1"/>
      <c r="X55" s="1"/>
      <c r="Y55" s="1"/>
      <c r="Z55" s="1"/>
      <c r="AA55" s="11"/>
      <c r="AB55" s="11"/>
      <c r="AC55" s="1"/>
      <c r="AD55" s="1"/>
      <c r="AE55" s="11"/>
      <c r="AF55" s="11"/>
      <c r="AG55" s="1"/>
      <c r="AH55" s="11"/>
      <c r="AI55" s="11"/>
      <c r="AJ55" s="1"/>
      <c r="AK55" s="1"/>
      <c r="AL55" s="11"/>
      <c r="AM55" s="11"/>
      <c r="AN55" s="1"/>
      <c r="AO55" s="1"/>
      <c r="AP55" s="1"/>
    </row>
    <row x14ac:dyDescent="0.25" r="56" customHeight="1" ht="18.75">
      <c r="A56" s="19">
        <f>+LEN(E56)</f>
      </c>
      <c r="B56" s="20" t="s">
        <v>378</v>
      </c>
      <c r="C56" s="21" t="s">
        <v>379</v>
      </c>
      <c r="D56" s="21" t="s">
        <v>137</v>
      </c>
      <c r="E56" s="22" t="s">
        <v>380</v>
      </c>
      <c r="F56" s="23" t="s">
        <v>127</v>
      </c>
      <c r="G56" s="1"/>
      <c r="H56" s="1"/>
      <c r="I56" s="1"/>
      <c r="J56" s="1"/>
      <c r="K56" s="1"/>
      <c r="L56" s="1"/>
      <c r="M56" s="34">
        <v>50104</v>
      </c>
      <c r="N56" s="35" t="s">
        <v>381</v>
      </c>
      <c r="O56" s="1"/>
      <c r="P56" s="1"/>
      <c r="Q56" s="11"/>
      <c r="R56" s="1"/>
      <c r="S56" s="1"/>
      <c r="T56" s="1"/>
      <c r="U56" s="1"/>
      <c r="V56" s="1"/>
      <c r="W56" s="1"/>
      <c r="X56" s="1"/>
      <c r="Y56" s="1"/>
      <c r="Z56" s="1"/>
      <c r="AA56" s="11"/>
      <c r="AB56" s="11"/>
      <c r="AC56" s="1"/>
      <c r="AD56" s="1"/>
      <c r="AE56" s="11"/>
      <c r="AF56" s="11"/>
      <c r="AG56" s="1"/>
      <c r="AH56" s="11"/>
      <c r="AI56" s="11"/>
      <c r="AJ56" s="1"/>
      <c r="AK56" s="1"/>
      <c r="AL56" s="11"/>
      <c r="AM56" s="11"/>
      <c r="AN56" s="1"/>
      <c r="AO56" s="1"/>
      <c r="AP56" s="1"/>
    </row>
    <row x14ac:dyDescent="0.25" r="57" customHeight="1" ht="18.75">
      <c r="A57" s="19">
        <f>+LEN(E57)</f>
      </c>
      <c r="B57" s="20" t="s">
        <v>382</v>
      </c>
      <c r="C57" s="21" t="s">
        <v>383</v>
      </c>
      <c r="D57" s="21" t="s">
        <v>137</v>
      </c>
      <c r="E57" s="22" t="s">
        <v>384</v>
      </c>
      <c r="F57" s="23" t="s">
        <v>127</v>
      </c>
      <c r="G57" s="1"/>
      <c r="H57" s="1"/>
      <c r="I57" s="1"/>
      <c r="J57" s="1"/>
      <c r="K57" s="1"/>
      <c r="L57" s="1"/>
      <c r="M57" s="27">
        <v>50105</v>
      </c>
      <c r="N57" s="28" t="s">
        <v>385</v>
      </c>
      <c r="O57" s="1"/>
      <c r="P57" s="1"/>
      <c r="Q57" s="11"/>
      <c r="R57" s="1"/>
      <c r="S57" s="1"/>
      <c r="T57" s="1"/>
      <c r="U57" s="1"/>
      <c r="V57" s="1"/>
      <c r="W57" s="1"/>
      <c r="X57" s="1"/>
      <c r="Y57" s="1"/>
      <c r="Z57" s="1"/>
      <c r="AA57" s="11"/>
      <c r="AB57" s="11"/>
      <c r="AC57" s="1"/>
      <c r="AD57" s="1"/>
      <c r="AE57" s="11"/>
      <c r="AF57" s="11"/>
      <c r="AG57" s="1"/>
      <c r="AH57" s="11"/>
      <c r="AI57" s="11"/>
      <c r="AJ57" s="1"/>
      <c r="AK57" s="1"/>
      <c r="AL57" s="11"/>
      <c r="AM57" s="11"/>
      <c r="AN57" s="1"/>
      <c r="AO57" s="1"/>
      <c r="AP57" s="1"/>
    </row>
    <row x14ac:dyDescent="0.25" r="58" customHeight="1" ht="18.75">
      <c r="A58" s="19">
        <f>+LEN(E58)</f>
      </c>
      <c r="B58" s="20" t="s">
        <v>386</v>
      </c>
      <c r="C58" s="21" t="s">
        <v>387</v>
      </c>
      <c r="D58" s="21" t="s">
        <v>137</v>
      </c>
      <c r="E58" s="22" t="s">
        <v>388</v>
      </c>
      <c r="F58" s="23" t="s">
        <v>127</v>
      </c>
      <c r="G58" s="1"/>
      <c r="H58" s="1"/>
      <c r="I58" s="1"/>
      <c r="J58" s="1"/>
      <c r="K58" s="1"/>
      <c r="L58" s="1"/>
      <c r="M58" s="34">
        <v>50106</v>
      </c>
      <c r="N58" s="35" t="s">
        <v>389</v>
      </c>
      <c r="O58" s="1"/>
      <c r="P58" s="1"/>
      <c r="Q58" s="11"/>
      <c r="R58" s="1"/>
      <c r="S58" s="1"/>
      <c r="T58" s="1"/>
      <c r="U58" s="1"/>
      <c r="V58" s="1"/>
      <c r="W58" s="1"/>
      <c r="X58" s="1"/>
      <c r="Y58" s="1"/>
      <c r="Z58" s="1"/>
      <c r="AA58" s="11"/>
      <c r="AB58" s="11"/>
      <c r="AC58" s="1"/>
      <c r="AD58" s="1"/>
      <c r="AE58" s="11"/>
      <c r="AF58" s="11"/>
      <c r="AG58" s="1"/>
      <c r="AH58" s="11"/>
      <c r="AI58" s="11"/>
      <c r="AJ58" s="1"/>
      <c r="AK58" s="1"/>
      <c r="AL58" s="11"/>
      <c r="AM58" s="11"/>
      <c r="AN58" s="1"/>
      <c r="AO58" s="1"/>
      <c r="AP58" s="1"/>
    </row>
    <row x14ac:dyDescent="0.25" r="59" customHeight="1" ht="18.75">
      <c r="A59" s="19">
        <f>+LEN(E59)</f>
      </c>
      <c r="B59" s="20" t="s">
        <v>390</v>
      </c>
      <c r="C59" s="21" t="s">
        <v>391</v>
      </c>
      <c r="D59" s="21" t="s">
        <v>137</v>
      </c>
      <c r="E59" s="22" t="s">
        <v>392</v>
      </c>
      <c r="F59" s="23" t="s">
        <v>127</v>
      </c>
      <c r="G59" s="1"/>
      <c r="H59" s="1"/>
      <c r="I59" s="1"/>
      <c r="J59" s="1"/>
      <c r="K59" s="1"/>
      <c r="L59" s="1"/>
      <c r="M59" s="27">
        <v>50107</v>
      </c>
      <c r="N59" s="28" t="s">
        <v>393</v>
      </c>
      <c r="O59" s="1"/>
      <c r="P59" s="1"/>
      <c r="Q59" s="11"/>
      <c r="R59" s="1"/>
      <c r="S59" s="1"/>
      <c r="T59" s="1"/>
      <c r="U59" s="1"/>
      <c r="V59" s="1"/>
      <c r="W59" s="1"/>
      <c r="X59" s="1"/>
      <c r="Y59" s="1"/>
      <c r="Z59" s="1"/>
      <c r="AA59" s="11"/>
      <c r="AB59" s="11"/>
      <c r="AC59" s="1"/>
      <c r="AD59" s="1"/>
      <c r="AE59" s="11"/>
      <c r="AF59" s="11"/>
      <c r="AG59" s="1"/>
      <c r="AH59" s="11"/>
      <c r="AI59" s="11"/>
      <c r="AJ59" s="1"/>
      <c r="AK59" s="1"/>
      <c r="AL59" s="11"/>
      <c r="AM59" s="11"/>
      <c r="AN59" s="1"/>
      <c r="AO59" s="1"/>
      <c r="AP59" s="1"/>
    </row>
    <row x14ac:dyDescent="0.25" r="60" customHeight="1" ht="18.75">
      <c r="A60" s="19">
        <f>+LEN(E60)</f>
      </c>
      <c r="B60" s="20" t="s">
        <v>394</v>
      </c>
      <c r="C60" s="21" t="s">
        <v>395</v>
      </c>
      <c r="D60" s="21" t="s">
        <v>137</v>
      </c>
      <c r="E60" s="22" t="s">
        <v>396</v>
      </c>
      <c r="F60" s="23" t="s">
        <v>127</v>
      </c>
      <c r="G60" s="1"/>
      <c r="H60" s="1"/>
      <c r="I60" s="1"/>
      <c r="J60" s="1"/>
      <c r="K60" s="1"/>
      <c r="L60" s="1"/>
      <c r="M60" s="34">
        <v>50108</v>
      </c>
      <c r="N60" s="35" t="s">
        <v>397</v>
      </c>
      <c r="O60" s="1"/>
      <c r="P60" s="1"/>
      <c r="Q60" s="11"/>
      <c r="R60" s="1"/>
      <c r="S60" s="1"/>
      <c r="T60" s="1"/>
      <c r="U60" s="1"/>
      <c r="V60" s="1"/>
      <c r="W60" s="1"/>
      <c r="X60" s="1"/>
      <c r="Y60" s="1"/>
      <c r="Z60" s="1"/>
      <c r="AA60" s="11"/>
      <c r="AB60" s="11"/>
      <c r="AC60" s="1"/>
      <c r="AD60" s="1"/>
      <c r="AE60" s="11"/>
      <c r="AF60" s="11"/>
      <c r="AG60" s="1"/>
      <c r="AH60" s="11"/>
      <c r="AI60" s="11"/>
      <c r="AJ60" s="1"/>
      <c r="AK60" s="1"/>
      <c r="AL60" s="11"/>
      <c r="AM60" s="11"/>
      <c r="AN60" s="1"/>
      <c r="AO60" s="1"/>
      <c r="AP60" s="1"/>
    </row>
    <row x14ac:dyDescent="0.25" r="61" customHeight="1" ht="18.75">
      <c r="A61" s="19">
        <f>+LEN(E61)</f>
      </c>
      <c r="B61" s="20" t="s">
        <v>398</v>
      </c>
      <c r="C61" s="21" t="s">
        <v>399</v>
      </c>
      <c r="D61" s="21" t="s">
        <v>137</v>
      </c>
      <c r="E61" s="22" t="s">
        <v>400</v>
      </c>
      <c r="F61" s="23" t="s">
        <v>127</v>
      </c>
      <c r="G61" s="1"/>
      <c r="H61" s="1"/>
      <c r="I61" s="1"/>
      <c r="J61" s="1"/>
      <c r="K61" s="1"/>
      <c r="L61" s="1"/>
      <c r="M61" s="27">
        <v>50109</v>
      </c>
      <c r="N61" s="28" t="s">
        <v>401</v>
      </c>
      <c r="O61" s="1"/>
      <c r="P61" s="1"/>
      <c r="Q61" s="11"/>
      <c r="R61" s="1"/>
      <c r="S61" s="1"/>
      <c r="T61" s="1"/>
      <c r="U61" s="1"/>
      <c r="V61" s="1"/>
      <c r="W61" s="1"/>
      <c r="X61" s="1"/>
      <c r="Y61" s="1"/>
      <c r="Z61" s="1"/>
      <c r="AA61" s="11"/>
      <c r="AB61" s="11"/>
      <c r="AC61" s="1"/>
      <c r="AD61" s="1"/>
      <c r="AE61" s="11"/>
      <c r="AF61" s="11"/>
      <c r="AG61" s="1"/>
      <c r="AH61" s="11"/>
      <c r="AI61" s="11"/>
      <c r="AJ61" s="1"/>
      <c r="AK61" s="1"/>
      <c r="AL61" s="11"/>
      <c r="AM61" s="11"/>
      <c r="AN61" s="1"/>
      <c r="AO61" s="1"/>
      <c r="AP61" s="1"/>
    </row>
    <row x14ac:dyDescent="0.25" r="62" customHeight="1" ht="18.75">
      <c r="A62" s="19">
        <f>+LEN(E62)</f>
      </c>
      <c r="B62" s="20" t="s">
        <v>402</v>
      </c>
      <c r="C62" s="21" t="s">
        <v>403</v>
      </c>
      <c r="D62" s="21" t="s">
        <v>137</v>
      </c>
      <c r="E62" s="22" t="s">
        <v>404</v>
      </c>
      <c r="F62" s="23" t="s">
        <v>127</v>
      </c>
      <c r="G62" s="1"/>
      <c r="H62" s="1"/>
      <c r="I62" s="1"/>
      <c r="J62" s="1"/>
      <c r="K62" s="1"/>
      <c r="L62" s="1"/>
      <c r="M62" s="34">
        <v>50201</v>
      </c>
      <c r="N62" s="35" t="s">
        <v>405</v>
      </c>
      <c r="O62" s="1"/>
      <c r="P62" s="1"/>
      <c r="Q62" s="11"/>
      <c r="R62" s="1"/>
      <c r="S62" s="1"/>
      <c r="T62" s="1"/>
      <c r="U62" s="1"/>
      <c r="V62" s="1"/>
      <c r="W62" s="1"/>
      <c r="X62" s="1"/>
      <c r="Y62" s="1"/>
      <c r="Z62" s="1"/>
      <c r="AA62" s="11"/>
      <c r="AB62" s="11"/>
      <c r="AC62" s="1"/>
      <c r="AD62" s="1"/>
      <c r="AE62" s="11"/>
      <c r="AF62" s="11"/>
      <c r="AG62" s="1"/>
      <c r="AH62" s="11"/>
      <c r="AI62" s="11"/>
      <c r="AJ62" s="1"/>
      <c r="AK62" s="1"/>
      <c r="AL62" s="11"/>
      <c r="AM62" s="11"/>
      <c r="AN62" s="1"/>
      <c r="AO62" s="1"/>
      <c r="AP62" s="1"/>
    </row>
    <row x14ac:dyDescent="0.25" r="63" customHeight="1" ht="18.75">
      <c r="A63" s="19">
        <f>+LEN(E63)</f>
      </c>
      <c r="B63" s="20" t="s">
        <v>406</v>
      </c>
      <c r="C63" s="21" t="s">
        <v>407</v>
      </c>
      <c r="D63" s="21" t="s">
        <v>165</v>
      </c>
      <c r="E63" s="22" t="s">
        <v>408</v>
      </c>
      <c r="F63" s="23" t="s">
        <v>127</v>
      </c>
      <c r="G63" s="1"/>
      <c r="H63" s="1"/>
      <c r="I63" s="1"/>
      <c r="J63" s="1"/>
      <c r="K63" s="1"/>
      <c r="L63" s="1"/>
      <c r="M63" s="27">
        <v>50202</v>
      </c>
      <c r="N63" s="28" t="s">
        <v>409</v>
      </c>
      <c r="O63" s="1"/>
      <c r="P63" s="1"/>
      <c r="Q63" s="11"/>
      <c r="R63" s="1"/>
      <c r="S63" s="1"/>
      <c r="T63" s="1"/>
      <c r="U63" s="1"/>
      <c r="V63" s="1"/>
      <c r="W63" s="1"/>
      <c r="X63" s="1"/>
      <c r="Y63" s="1"/>
      <c r="Z63" s="1"/>
      <c r="AA63" s="11"/>
      <c r="AB63" s="11"/>
      <c r="AC63" s="1"/>
      <c r="AD63" s="1"/>
      <c r="AE63" s="11"/>
      <c r="AF63" s="11"/>
      <c r="AG63" s="1"/>
      <c r="AH63" s="11"/>
      <c r="AI63" s="11"/>
      <c r="AJ63" s="1"/>
      <c r="AK63" s="1"/>
      <c r="AL63" s="11"/>
      <c r="AM63" s="11"/>
      <c r="AN63" s="1"/>
      <c r="AO63" s="1"/>
      <c r="AP63" s="1"/>
    </row>
    <row x14ac:dyDescent="0.25" r="64" customHeight="1" ht="18.75">
      <c r="A64" s="19">
        <f>+LEN(E64)</f>
      </c>
      <c r="B64" s="20" t="s">
        <v>410</v>
      </c>
      <c r="C64" s="21" t="s">
        <v>411</v>
      </c>
      <c r="D64" s="21" t="s">
        <v>165</v>
      </c>
      <c r="E64" s="22" t="s">
        <v>412</v>
      </c>
      <c r="F64" s="23" t="s">
        <v>127</v>
      </c>
      <c r="G64" s="1"/>
      <c r="H64" s="1"/>
      <c r="I64" s="1"/>
      <c r="J64" s="1"/>
      <c r="K64" s="1"/>
      <c r="L64" s="1"/>
      <c r="M64" s="34">
        <v>50301</v>
      </c>
      <c r="N64" s="35" t="s">
        <v>413</v>
      </c>
      <c r="O64" s="1"/>
      <c r="P64" s="1"/>
      <c r="Q64" s="11"/>
      <c r="R64" s="1"/>
      <c r="S64" s="1"/>
      <c r="T64" s="1"/>
      <c r="U64" s="1"/>
      <c r="V64" s="1"/>
      <c r="W64" s="1"/>
      <c r="X64" s="1"/>
      <c r="Y64" s="1"/>
      <c r="Z64" s="1"/>
      <c r="AA64" s="11"/>
      <c r="AB64" s="11"/>
      <c r="AC64" s="1"/>
      <c r="AD64" s="1"/>
      <c r="AE64" s="11"/>
      <c r="AF64" s="11"/>
      <c r="AG64" s="1"/>
      <c r="AH64" s="11"/>
      <c r="AI64" s="11"/>
      <c r="AJ64" s="1"/>
      <c r="AK64" s="1"/>
      <c r="AL64" s="11"/>
      <c r="AM64" s="11"/>
      <c r="AN64" s="1"/>
      <c r="AO64" s="1"/>
      <c r="AP64" s="1"/>
    </row>
    <row x14ac:dyDescent="0.25" r="65" customHeight="1" ht="18.75">
      <c r="A65" s="19">
        <f>+LEN(E65)</f>
      </c>
      <c r="B65" s="20" t="s">
        <v>414</v>
      </c>
      <c r="C65" s="21" t="s">
        <v>415</v>
      </c>
      <c r="D65" s="21" t="s">
        <v>137</v>
      </c>
      <c r="E65" s="22" t="s">
        <v>416</v>
      </c>
      <c r="F65" s="23" t="s">
        <v>127</v>
      </c>
      <c r="G65" s="1"/>
      <c r="H65" s="1"/>
      <c r="I65" s="1"/>
      <c r="J65" s="1"/>
      <c r="K65" s="1"/>
      <c r="L65" s="1"/>
      <c r="M65" s="27">
        <v>50302</v>
      </c>
      <c r="N65" s="28" t="s">
        <v>417</v>
      </c>
      <c r="O65" s="1"/>
      <c r="P65" s="1"/>
      <c r="Q65" s="11"/>
      <c r="R65" s="1"/>
      <c r="S65" s="1"/>
      <c r="T65" s="1"/>
      <c r="U65" s="1"/>
      <c r="V65" s="1"/>
      <c r="W65" s="1"/>
      <c r="X65" s="1"/>
      <c r="Y65" s="1"/>
      <c r="Z65" s="1"/>
      <c r="AA65" s="11"/>
      <c r="AB65" s="11"/>
      <c r="AC65" s="1"/>
      <c r="AD65" s="1"/>
      <c r="AE65" s="11"/>
      <c r="AF65" s="11"/>
      <c r="AG65" s="1"/>
      <c r="AH65" s="11"/>
      <c r="AI65" s="11"/>
      <c r="AJ65" s="1"/>
      <c r="AK65" s="1"/>
      <c r="AL65" s="11"/>
      <c r="AM65" s="11"/>
      <c r="AN65" s="1"/>
      <c r="AO65" s="1"/>
      <c r="AP65" s="1"/>
    </row>
    <row x14ac:dyDescent="0.25" r="66" customHeight="1" ht="18.75">
      <c r="A66" s="19">
        <f>+LEN(E66)</f>
      </c>
      <c r="B66" s="20" t="s">
        <v>418</v>
      </c>
      <c r="C66" s="21" t="s">
        <v>419</v>
      </c>
      <c r="D66" s="21" t="s">
        <v>165</v>
      </c>
      <c r="E66" s="22" t="s">
        <v>420</v>
      </c>
      <c r="F66" s="23" t="s">
        <v>127</v>
      </c>
      <c r="G66" s="1"/>
      <c r="H66" s="1"/>
      <c r="I66" s="1"/>
      <c r="J66" s="1"/>
      <c r="K66" s="1"/>
      <c r="L66" s="1"/>
      <c r="M66" s="34">
        <v>50303</v>
      </c>
      <c r="N66" s="35" t="s">
        <v>421</v>
      </c>
      <c r="O66" s="1"/>
      <c r="P66" s="1"/>
      <c r="Q66" s="11"/>
      <c r="R66" s="1"/>
      <c r="S66" s="1"/>
      <c r="T66" s="1"/>
      <c r="U66" s="1"/>
      <c r="V66" s="1"/>
      <c r="W66" s="1"/>
      <c r="X66" s="1"/>
      <c r="Y66" s="1"/>
      <c r="Z66" s="1"/>
      <c r="AA66" s="11"/>
      <c r="AB66" s="11"/>
      <c r="AC66" s="1"/>
      <c r="AD66" s="1"/>
      <c r="AE66" s="11"/>
      <c r="AF66" s="11"/>
      <c r="AG66" s="1"/>
      <c r="AH66" s="11"/>
      <c r="AI66" s="11"/>
      <c r="AJ66" s="1"/>
      <c r="AK66" s="1"/>
      <c r="AL66" s="11"/>
      <c r="AM66" s="11"/>
      <c r="AN66" s="1"/>
      <c r="AO66" s="1"/>
      <c r="AP66" s="1"/>
    </row>
    <row x14ac:dyDescent="0.25" r="67" customHeight="1" ht="18.75">
      <c r="A67" s="19">
        <f>+LEN(E67)</f>
      </c>
      <c r="B67" s="20" t="s">
        <v>422</v>
      </c>
      <c r="C67" s="21" t="s">
        <v>423</v>
      </c>
      <c r="D67" s="21" t="s">
        <v>165</v>
      </c>
      <c r="E67" s="22" t="s">
        <v>424</v>
      </c>
      <c r="F67" s="23" t="s">
        <v>127</v>
      </c>
      <c r="G67" s="1"/>
      <c r="H67" s="1"/>
      <c r="I67" s="1"/>
      <c r="J67" s="1"/>
      <c r="K67" s="1"/>
      <c r="L67" s="1"/>
      <c r="M67" s="27">
        <v>50304</v>
      </c>
      <c r="N67" s="28" t="s">
        <v>425</v>
      </c>
      <c r="O67" s="1"/>
      <c r="P67" s="1"/>
      <c r="Q67" s="11"/>
      <c r="R67" s="1"/>
      <c r="S67" s="1"/>
      <c r="T67" s="1"/>
      <c r="U67" s="1"/>
      <c r="V67" s="1"/>
      <c r="W67" s="1"/>
      <c r="X67" s="1"/>
      <c r="Y67" s="1"/>
      <c r="Z67" s="1"/>
      <c r="AA67" s="11"/>
      <c r="AB67" s="11"/>
      <c r="AC67" s="1"/>
      <c r="AD67" s="1"/>
      <c r="AE67" s="11"/>
      <c r="AF67" s="11"/>
      <c r="AG67" s="1"/>
      <c r="AH67" s="11"/>
      <c r="AI67" s="11"/>
      <c r="AJ67" s="1"/>
      <c r="AK67" s="1"/>
      <c r="AL67" s="11"/>
      <c r="AM67" s="11"/>
      <c r="AN67" s="1"/>
      <c r="AO67" s="1"/>
      <c r="AP67" s="1"/>
    </row>
    <row x14ac:dyDescent="0.25" r="68" customHeight="1" ht="18.75">
      <c r="A68" s="19">
        <f>+LEN(E68)</f>
      </c>
      <c r="B68" s="20" t="s">
        <v>426</v>
      </c>
      <c r="C68" s="21" t="s">
        <v>427</v>
      </c>
      <c r="D68" s="21" t="s">
        <v>165</v>
      </c>
      <c r="E68" s="22" t="s">
        <v>428</v>
      </c>
      <c r="F68" s="23" t="s">
        <v>127</v>
      </c>
      <c r="G68" s="1"/>
      <c r="H68" s="1"/>
      <c r="I68" s="1"/>
      <c r="J68" s="1"/>
      <c r="K68" s="1"/>
      <c r="L68" s="1"/>
      <c r="M68" s="55">
        <v>50305</v>
      </c>
      <c r="N68" s="56" t="s">
        <v>429</v>
      </c>
      <c r="O68" s="1"/>
      <c r="P68" s="1"/>
      <c r="Q68" s="11"/>
      <c r="R68" s="1"/>
      <c r="S68" s="1"/>
      <c r="T68" s="1"/>
      <c r="U68" s="1"/>
      <c r="V68" s="1"/>
      <c r="W68" s="1"/>
      <c r="X68" s="1"/>
      <c r="Y68" s="1"/>
      <c r="Z68" s="1"/>
      <c r="AA68" s="11"/>
      <c r="AB68" s="11"/>
      <c r="AC68" s="1"/>
      <c r="AD68" s="1"/>
      <c r="AE68" s="11"/>
      <c r="AF68" s="11"/>
      <c r="AG68" s="1"/>
      <c r="AH68" s="11"/>
      <c r="AI68" s="11"/>
      <c r="AJ68" s="1"/>
      <c r="AK68" s="1"/>
      <c r="AL68" s="11"/>
      <c r="AM68" s="11"/>
      <c r="AN68" s="1"/>
      <c r="AO68" s="1"/>
      <c r="AP68" s="1"/>
    </row>
    <row x14ac:dyDescent="0.25" r="69" customHeight="1" ht="18.75">
      <c r="A69" s="19">
        <f>+LEN(E69)</f>
      </c>
      <c r="B69" s="20" t="s">
        <v>430</v>
      </c>
      <c r="C69" s="21" t="s">
        <v>431</v>
      </c>
      <c r="D69" s="21" t="s">
        <v>137</v>
      </c>
      <c r="E69" s="22" t="s">
        <v>432</v>
      </c>
      <c r="F69" s="23" t="s">
        <v>127</v>
      </c>
      <c r="G69" s="1"/>
      <c r="H69" s="1"/>
      <c r="I69" s="1"/>
      <c r="J69" s="1"/>
      <c r="K69" s="1"/>
      <c r="L69" s="1"/>
      <c r="M69" s="34">
        <v>50306</v>
      </c>
      <c r="N69" s="35" t="s">
        <v>433</v>
      </c>
      <c r="O69" s="1"/>
      <c r="P69" s="1"/>
      <c r="Q69" s="11"/>
      <c r="R69" s="1"/>
      <c r="S69" s="1"/>
      <c r="T69" s="1"/>
      <c r="U69" s="1"/>
      <c r="V69" s="1"/>
      <c r="W69" s="1"/>
      <c r="X69" s="1"/>
      <c r="Y69" s="1"/>
      <c r="Z69" s="1"/>
      <c r="AA69" s="11"/>
      <c r="AB69" s="11"/>
      <c r="AC69" s="1"/>
      <c r="AD69" s="1"/>
      <c r="AE69" s="11"/>
      <c r="AF69" s="11"/>
      <c r="AG69" s="1"/>
      <c r="AH69" s="11"/>
      <c r="AI69" s="11"/>
      <c r="AJ69" s="1"/>
      <c r="AK69" s="1"/>
      <c r="AL69" s="11"/>
      <c r="AM69" s="11"/>
      <c r="AN69" s="1"/>
      <c r="AO69" s="1"/>
      <c r="AP69" s="1"/>
    </row>
    <row x14ac:dyDescent="0.25" r="70" customHeight="1" ht="18.75">
      <c r="A70" s="19">
        <f>+LEN(E70)</f>
      </c>
      <c r="B70" s="20" t="s">
        <v>434</v>
      </c>
      <c r="C70" s="21" t="s">
        <v>435</v>
      </c>
      <c r="D70" s="21" t="s">
        <v>137</v>
      </c>
      <c r="E70" s="22" t="s">
        <v>436</v>
      </c>
      <c r="F70" s="23" t="s">
        <v>127</v>
      </c>
      <c r="G70" s="1"/>
      <c r="H70" s="1"/>
      <c r="I70" s="1"/>
      <c r="J70" s="1"/>
      <c r="K70" s="1"/>
      <c r="L70" s="1"/>
      <c r="M70" s="34">
        <v>50307</v>
      </c>
      <c r="N70" s="35" t="s">
        <v>437</v>
      </c>
      <c r="O70" s="1"/>
      <c r="P70" s="1"/>
      <c r="Q70" s="11"/>
      <c r="R70" s="1"/>
      <c r="S70" s="1"/>
      <c r="T70" s="1"/>
      <c r="U70" s="1"/>
      <c r="V70" s="1"/>
      <c r="W70" s="1"/>
      <c r="X70" s="1"/>
      <c r="Y70" s="1"/>
      <c r="Z70" s="1"/>
      <c r="AA70" s="11"/>
      <c r="AB70" s="11"/>
      <c r="AC70" s="1"/>
      <c r="AD70" s="1"/>
      <c r="AE70" s="11"/>
      <c r="AF70" s="11"/>
      <c r="AG70" s="1"/>
      <c r="AH70" s="11"/>
      <c r="AI70" s="11"/>
      <c r="AJ70" s="1"/>
      <c r="AK70" s="1"/>
      <c r="AL70" s="11"/>
      <c r="AM70" s="11"/>
      <c r="AN70" s="1"/>
      <c r="AO70" s="1"/>
      <c r="AP70" s="1"/>
    </row>
    <row x14ac:dyDescent="0.25" r="71" customHeight="1" ht="18.75">
      <c r="A71" s="19">
        <f>+LEN(E71)</f>
      </c>
      <c r="B71" s="20" t="s">
        <v>438</v>
      </c>
      <c r="C71" s="21" t="s">
        <v>439</v>
      </c>
      <c r="D71" s="21" t="s">
        <v>165</v>
      </c>
      <c r="E71" s="22" t="s">
        <v>440</v>
      </c>
      <c r="F71" s="23" t="s">
        <v>127</v>
      </c>
      <c r="G71" s="1"/>
      <c r="H71" s="1"/>
      <c r="I71" s="1"/>
      <c r="J71" s="1"/>
      <c r="K71" s="1"/>
      <c r="L71" s="1"/>
      <c r="M71" s="34">
        <v>50308</v>
      </c>
      <c r="N71" s="35" t="s">
        <v>441</v>
      </c>
      <c r="O71" s="1"/>
      <c r="P71" s="1"/>
      <c r="Q71" s="11"/>
      <c r="R71" s="1"/>
      <c r="S71" s="1"/>
      <c r="T71" s="1"/>
      <c r="U71" s="1"/>
      <c r="V71" s="1"/>
      <c r="W71" s="1"/>
      <c r="X71" s="1"/>
      <c r="Y71" s="1"/>
      <c r="Z71" s="1"/>
      <c r="AA71" s="11"/>
      <c r="AB71" s="11"/>
      <c r="AC71" s="1"/>
      <c r="AD71" s="1"/>
      <c r="AE71" s="11"/>
      <c r="AF71" s="11"/>
      <c r="AG71" s="1"/>
      <c r="AH71" s="11"/>
      <c r="AI71" s="11"/>
      <c r="AJ71" s="1"/>
      <c r="AK71" s="1"/>
      <c r="AL71" s="11"/>
      <c r="AM71" s="11"/>
      <c r="AN71" s="1"/>
      <c r="AO71" s="1"/>
      <c r="AP71" s="1"/>
    </row>
    <row x14ac:dyDescent="0.25" r="72" customHeight="1" ht="18.75">
      <c r="A72" s="19">
        <f>+LEN(E72)</f>
      </c>
      <c r="B72" s="20" t="s">
        <v>442</v>
      </c>
      <c r="C72" s="21" t="s">
        <v>443</v>
      </c>
      <c r="D72" s="21" t="s">
        <v>137</v>
      </c>
      <c r="E72" s="22" t="s">
        <v>444</v>
      </c>
      <c r="F72" s="23" t="s">
        <v>127</v>
      </c>
      <c r="G72" s="1"/>
      <c r="H72" s="1"/>
      <c r="I72" s="1"/>
      <c r="J72" s="1"/>
      <c r="K72" s="1"/>
      <c r="L72" s="1"/>
      <c r="M72" s="34">
        <v>50401</v>
      </c>
      <c r="N72" s="35" t="s">
        <v>445</v>
      </c>
      <c r="O72" s="1"/>
      <c r="P72" s="1"/>
      <c r="Q72" s="11"/>
      <c r="R72" s="1"/>
      <c r="S72" s="1"/>
      <c r="T72" s="1"/>
      <c r="U72" s="1"/>
      <c r="V72" s="1"/>
      <c r="W72" s="1"/>
      <c r="X72" s="1"/>
      <c r="Y72" s="1"/>
      <c r="Z72" s="1"/>
      <c r="AA72" s="11"/>
      <c r="AB72" s="11"/>
      <c r="AC72" s="1"/>
      <c r="AD72" s="1"/>
      <c r="AE72" s="11"/>
      <c r="AF72" s="11"/>
      <c r="AG72" s="1"/>
      <c r="AH72" s="11"/>
      <c r="AI72" s="11"/>
      <c r="AJ72" s="1"/>
      <c r="AK72" s="1"/>
      <c r="AL72" s="11"/>
      <c r="AM72" s="11"/>
      <c r="AN72" s="1"/>
      <c r="AO72" s="1"/>
      <c r="AP72" s="1"/>
    </row>
    <row x14ac:dyDescent="0.25" r="73" customHeight="1" ht="18.75">
      <c r="A73" s="19">
        <f>+LEN(E73)</f>
      </c>
      <c r="B73" s="20" t="s">
        <v>446</v>
      </c>
      <c r="C73" s="21" t="s">
        <v>447</v>
      </c>
      <c r="D73" s="21" t="s">
        <v>137</v>
      </c>
      <c r="E73" s="22" t="s">
        <v>448</v>
      </c>
      <c r="F73" s="23" t="s">
        <v>127</v>
      </c>
      <c r="G73" s="1"/>
      <c r="H73" s="1"/>
      <c r="I73" s="1"/>
      <c r="J73" s="1"/>
      <c r="K73" s="1"/>
      <c r="L73" s="1"/>
      <c r="M73" s="34">
        <v>50501</v>
      </c>
      <c r="N73" s="35" t="s">
        <v>449</v>
      </c>
      <c r="O73" s="1"/>
      <c r="P73" s="1"/>
      <c r="Q73" s="11"/>
      <c r="R73" s="1"/>
      <c r="S73" s="1"/>
      <c r="T73" s="1"/>
      <c r="U73" s="1"/>
      <c r="V73" s="1"/>
      <c r="W73" s="1"/>
      <c r="X73" s="1"/>
      <c r="Y73" s="1"/>
      <c r="Z73" s="1"/>
      <c r="AA73" s="11"/>
      <c r="AB73" s="11"/>
      <c r="AC73" s="1"/>
      <c r="AD73" s="1"/>
      <c r="AE73" s="11"/>
      <c r="AF73" s="11"/>
      <c r="AG73" s="1"/>
      <c r="AH73" s="11"/>
      <c r="AI73" s="11"/>
      <c r="AJ73" s="1"/>
      <c r="AK73" s="1"/>
      <c r="AL73" s="11"/>
      <c r="AM73" s="11"/>
      <c r="AN73" s="1"/>
      <c r="AO73" s="1"/>
      <c r="AP73" s="1"/>
    </row>
    <row x14ac:dyDescent="0.25" r="74" customHeight="1" ht="18.75">
      <c r="A74" s="19">
        <f>+LEN(E74)</f>
      </c>
      <c r="B74" s="20" t="s">
        <v>450</v>
      </c>
      <c r="C74" s="21" t="s">
        <v>451</v>
      </c>
      <c r="D74" s="21" t="s">
        <v>165</v>
      </c>
      <c r="E74" s="22" t="s">
        <v>452</v>
      </c>
      <c r="F74" s="23" t="s">
        <v>127</v>
      </c>
      <c r="G74" s="1"/>
      <c r="H74" s="1"/>
      <c r="I74" s="1"/>
      <c r="J74" s="1"/>
      <c r="K74" s="1"/>
      <c r="L74" s="1"/>
      <c r="M74" s="34">
        <v>50502</v>
      </c>
      <c r="N74" s="35" t="s">
        <v>453</v>
      </c>
      <c r="O74" s="1"/>
      <c r="P74" s="1"/>
      <c r="Q74" s="11"/>
      <c r="R74" s="1"/>
      <c r="S74" s="1"/>
      <c r="T74" s="1"/>
      <c r="U74" s="1"/>
      <c r="V74" s="1"/>
      <c r="W74" s="1"/>
      <c r="X74" s="1"/>
      <c r="Y74" s="1"/>
      <c r="Z74" s="1"/>
      <c r="AA74" s="11"/>
      <c r="AB74" s="11"/>
      <c r="AC74" s="1"/>
      <c r="AD74" s="1"/>
      <c r="AE74" s="11"/>
      <c r="AF74" s="11"/>
      <c r="AG74" s="1"/>
      <c r="AH74" s="11"/>
      <c r="AI74" s="11"/>
      <c r="AJ74" s="1"/>
      <c r="AK74" s="1"/>
      <c r="AL74" s="11"/>
      <c r="AM74" s="11"/>
      <c r="AN74" s="1"/>
      <c r="AO74" s="1"/>
      <c r="AP74" s="1"/>
    </row>
    <row x14ac:dyDescent="0.25" r="75" customHeight="1" ht="18.75">
      <c r="A75" s="19">
        <f>+LEN(E75)</f>
      </c>
      <c r="B75" s="20" t="s">
        <v>454</v>
      </c>
      <c r="C75" s="21" t="s">
        <v>455</v>
      </c>
      <c r="D75" s="21" t="s">
        <v>137</v>
      </c>
      <c r="E75" s="22" t="s">
        <v>456</v>
      </c>
      <c r="F75" s="23" t="s">
        <v>127</v>
      </c>
      <c r="G75" s="1"/>
      <c r="H75" s="1"/>
      <c r="I75" s="1"/>
      <c r="J75" s="1"/>
      <c r="K75" s="1"/>
      <c r="L75" s="1"/>
      <c r="M75" s="34">
        <v>50503</v>
      </c>
      <c r="N75" s="35" t="s">
        <v>457</v>
      </c>
      <c r="O75" s="1"/>
      <c r="P75" s="1"/>
      <c r="Q75" s="11"/>
      <c r="R75" s="1"/>
      <c r="S75" s="1"/>
      <c r="T75" s="1"/>
      <c r="U75" s="1"/>
      <c r="V75" s="1"/>
      <c r="W75" s="1"/>
      <c r="X75" s="1"/>
      <c r="Y75" s="1"/>
      <c r="Z75" s="1"/>
      <c r="AA75" s="11"/>
      <c r="AB75" s="11"/>
      <c r="AC75" s="1"/>
      <c r="AD75" s="1"/>
      <c r="AE75" s="11"/>
      <c r="AF75" s="11"/>
      <c r="AG75" s="1"/>
      <c r="AH75" s="11"/>
      <c r="AI75" s="11"/>
      <c r="AJ75" s="1"/>
      <c r="AK75" s="1"/>
      <c r="AL75" s="11"/>
      <c r="AM75" s="11"/>
      <c r="AN75" s="1"/>
      <c r="AO75" s="1"/>
      <c r="AP75" s="1"/>
    </row>
    <row x14ac:dyDescent="0.25" r="76" customHeight="1" ht="18.75">
      <c r="A76" s="19">
        <f>+LEN(E76)</f>
      </c>
      <c r="B76" s="54">
        <v>47516862</v>
      </c>
      <c r="C76" s="21" t="s">
        <v>458</v>
      </c>
      <c r="D76" s="21" t="s">
        <v>137</v>
      </c>
      <c r="E76" s="22" t="s">
        <v>459</v>
      </c>
      <c r="F76" s="23" t="s">
        <v>127</v>
      </c>
      <c r="G76" s="1"/>
      <c r="H76" s="1"/>
      <c r="I76" s="1"/>
      <c r="J76" s="1"/>
      <c r="K76" s="1"/>
      <c r="L76" s="1"/>
      <c r="M76" s="34">
        <v>60101</v>
      </c>
      <c r="N76" s="35" t="s">
        <v>460</v>
      </c>
      <c r="O76" s="1"/>
      <c r="P76" s="1"/>
      <c r="Q76" s="11"/>
      <c r="R76" s="1"/>
      <c r="S76" s="1"/>
      <c r="T76" s="1"/>
      <c r="U76" s="1"/>
      <c r="V76" s="1"/>
      <c r="W76" s="1"/>
      <c r="X76" s="1"/>
      <c r="Y76" s="1"/>
      <c r="Z76" s="1"/>
      <c r="AA76" s="11"/>
      <c r="AB76" s="11"/>
      <c r="AC76" s="1"/>
      <c r="AD76" s="1"/>
      <c r="AE76" s="11"/>
      <c r="AF76" s="11"/>
      <c r="AG76" s="1"/>
      <c r="AH76" s="11"/>
      <c r="AI76" s="11"/>
      <c r="AJ76" s="1"/>
      <c r="AK76" s="1"/>
      <c r="AL76" s="11"/>
      <c r="AM76" s="11"/>
      <c r="AN76" s="1"/>
      <c r="AO76" s="1"/>
      <c r="AP76" s="1"/>
    </row>
    <row x14ac:dyDescent="0.25" r="77" customHeight="1" ht="18.75">
      <c r="A77" s="19">
        <f>+LEN(E77)</f>
      </c>
      <c r="B77" s="20" t="s">
        <v>461</v>
      </c>
      <c r="C77" s="21" t="s">
        <v>462</v>
      </c>
      <c r="D77" s="21" t="s">
        <v>137</v>
      </c>
      <c r="E77" s="22" t="s">
        <v>463</v>
      </c>
      <c r="F77" s="23" t="s">
        <v>127</v>
      </c>
      <c r="G77" s="1"/>
      <c r="H77" s="1"/>
      <c r="I77" s="1"/>
      <c r="J77" s="1"/>
      <c r="K77" s="1"/>
      <c r="L77" s="1"/>
      <c r="M77" s="34">
        <v>60102</v>
      </c>
      <c r="N77" s="35" t="s">
        <v>464</v>
      </c>
      <c r="O77" s="1"/>
      <c r="P77" s="1"/>
      <c r="Q77" s="11"/>
      <c r="R77" s="1"/>
      <c r="S77" s="1"/>
      <c r="T77" s="1"/>
      <c r="U77" s="1"/>
      <c r="V77" s="1"/>
      <c r="W77" s="1"/>
      <c r="X77" s="1"/>
      <c r="Y77" s="1"/>
      <c r="Z77" s="1"/>
      <c r="AA77" s="11"/>
      <c r="AB77" s="11"/>
      <c r="AC77" s="1"/>
      <c r="AD77" s="1"/>
      <c r="AE77" s="11"/>
      <c r="AF77" s="11"/>
      <c r="AG77" s="1"/>
      <c r="AH77" s="11"/>
      <c r="AI77" s="11"/>
      <c r="AJ77" s="1"/>
      <c r="AK77" s="1"/>
      <c r="AL77" s="11"/>
      <c r="AM77" s="11"/>
      <c r="AN77" s="1"/>
      <c r="AO77" s="1"/>
      <c r="AP77" s="1"/>
    </row>
    <row x14ac:dyDescent="0.25" r="78" customHeight="1" ht="18.75">
      <c r="A78" s="19">
        <f>+LEN(E78)</f>
      </c>
      <c r="B78" s="20" t="s">
        <v>465</v>
      </c>
      <c r="C78" s="21" t="s">
        <v>466</v>
      </c>
      <c r="D78" s="21" t="s">
        <v>165</v>
      </c>
      <c r="E78" s="22" t="s">
        <v>467</v>
      </c>
      <c r="F78" s="23" t="s">
        <v>127</v>
      </c>
      <c r="G78" s="1"/>
      <c r="H78" s="1"/>
      <c r="I78" s="1"/>
      <c r="J78" s="1"/>
      <c r="K78" s="1"/>
      <c r="L78" s="1"/>
      <c r="M78" s="34">
        <v>60103</v>
      </c>
      <c r="N78" s="35" t="s">
        <v>468</v>
      </c>
      <c r="O78" s="1"/>
      <c r="P78" s="1"/>
      <c r="Q78" s="11"/>
      <c r="R78" s="1"/>
      <c r="S78" s="1"/>
      <c r="T78" s="1"/>
      <c r="U78" s="1"/>
      <c r="V78" s="1"/>
      <c r="W78" s="1"/>
      <c r="X78" s="1"/>
      <c r="Y78" s="1"/>
      <c r="Z78" s="1"/>
      <c r="AA78" s="11"/>
      <c r="AB78" s="11"/>
      <c r="AC78" s="1"/>
      <c r="AD78" s="1"/>
      <c r="AE78" s="11"/>
      <c r="AF78" s="11"/>
      <c r="AG78" s="1"/>
      <c r="AH78" s="11"/>
      <c r="AI78" s="11"/>
      <c r="AJ78" s="1"/>
      <c r="AK78" s="1"/>
      <c r="AL78" s="11"/>
      <c r="AM78" s="11"/>
      <c r="AN78" s="1"/>
      <c r="AO78" s="1"/>
      <c r="AP78" s="1"/>
    </row>
    <row x14ac:dyDescent="0.25" r="79" customHeight="1" ht="18.75">
      <c r="A79" s="19">
        <f>+LEN(E79)</f>
      </c>
      <c r="B79" s="20" t="s">
        <v>469</v>
      </c>
      <c r="C79" s="21" t="s">
        <v>470</v>
      </c>
      <c r="D79" s="21" t="s">
        <v>137</v>
      </c>
      <c r="E79" s="22" t="s">
        <v>471</v>
      </c>
      <c r="F79" s="23" t="s">
        <v>127</v>
      </c>
      <c r="G79" s="1"/>
      <c r="H79" s="1"/>
      <c r="I79" s="1"/>
      <c r="J79" s="1"/>
      <c r="K79" s="1"/>
      <c r="L79" s="1"/>
      <c r="M79" s="34">
        <v>60104</v>
      </c>
      <c r="N79" s="35" t="s">
        <v>472</v>
      </c>
      <c r="O79" s="1"/>
      <c r="P79" s="1"/>
      <c r="Q79" s="11"/>
      <c r="R79" s="1"/>
      <c r="S79" s="1"/>
      <c r="T79" s="1"/>
      <c r="U79" s="1"/>
      <c r="V79" s="1"/>
      <c r="W79" s="1"/>
      <c r="X79" s="1"/>
      <c r="Y79" s="1"/>
      <c r="Z79" s="1"/>
      <c r="AA79" s="11"/>
      <c r="AB79" s="11"/>
      <c r="AC79" s="1"/>
      <c r="AD79" s="1"/>
      <c r="AE79" s="11"/>
      <c r="AF79" s="11"/>
      <c r="AG79" s="1"/>
      <c r="AH79" s="11"/>
      <c r="AI79" s="11"/>
      <c r="AJ79" s="1"/>
      <c r="AK79" s="1"/>
      <c r="AL79" s="11"/>
      <c r="AM79" s="11"/>
      <c r="AN79" s="1"/>
      <c r="AO79" s="1"/>
      <c r="AP79" s="1"/>
    </row>
    <row x14ac:dyDescent="0.25" r="80" customHeight="1" ht="18.75">
      <c r="A80" s="19">
        <f>+LEN(E80)</f>
      </c>
      <c r="B80" s="20" t="s">
        <v>473</v>
      </c>
      <c r="C80" s="21" t="s">
        <v>474</v>
      </c>
      <c r="D80" s="21" t="s">
        <v>137</v>
      </c>
      <c r="E80" s="22" t="s">
        <v>475</v>
      </c>
      <c r="F80" s="23" t="s">
        <v>127</v>
      </c>
      <c r="G80" s="1"/>
      <c r="H80" s="1"/>
      <c r="I80" s="1"/>
      <c r="J80" s="1"/>
      <c r="K80" s="1"/>
      <c r="L80" s="1"/>
      <c r="M80" s="34">
        <v>60105</v>
      </c>
      <c r="N80" s="35" t="s">
        <v>476</v>
      </c>
      <c r="O80" s="1"/>
      <c r="P80" s="1"/>
      <c r="Q80" s="11"/>
      <c r="R80" s="1"/>
      <c r="S80" s="1"/>
      <c r="T80" s="1"/>
      <c r="U80" s="1"/>
      <c r="V80" s="1"/>
      <c r="W80" s="1"/>
      <c r="X80" s="1"/>
      <c r="Y80" s="1"/>
      <c r="Z80" s="1"/>
      <c r="AA80" s="11"/>
      <c r="AB80" s="11"/>
      <c r="AC80" s="1"/>
      <c r="AD80" s="1"/>
      <c r="AE80" s="11"/>
      <c r="AF80" s="11"/>
      <c r="AG80" s="1"/>
      <c r="AH80" s="11"/>
      <c r="AI80" s="11"/>
      <c r="AJ80" s="1"/>
      <c r="AK80" s="1"/>
      <c r="AL80" s="11"/>
      <c r="AM80" s="11"/>
      <c r="AN80" s="1"/>
      <c r="AO80" s="1"/>
      <c r="AP80" s="1"/>
    </row>
    <row x14ac:dyDescent="0.25" r="81" customHeight="1" ht="18.75">
      <c r="A81" s="19">
        <f>+LEN(E81)</f>
      </c>
      <c r="B81" s="20" t="s">
        <v>477</v>
      </c>
      <c r="C81" s="21" t="s">
        <v>478</v>
      </c>
      <c r="D81" s="21" t="s">
        <v>165</v>
      </c>
      <c r="E81" s="22" t="s">
        <v>479</v>
      </c>
      <c r="F81" s="23" t="s">
        <v>127</v>
      </c>
      <c r="G81" s="1"/>
      <c r="H81" s="1"/>
      <c r="I81" s="1"/>
      <c r="J81" s="1"/>
      <c r="K81" s="1"/>
      <c r="L81" s="1"/>
      <c r="M81" s="34">
        <v>60106</v>
      </c>
      <c r="N81" s="35" t="s">
        <v>480</v>
      </c>
      <c r="O81" s="1"/>
      <c r="P81" s="1"/>
      <c r="Q81" s="11"/>
      <c r="R81" s="1"/>
      <c r="S81" s="1"/>
      <c r="T81" s="1"/>
      <c r="U81" s="1"/>
      <c r="V81" s="1"/>
      <c r="W81" s="1"/>
      <c r="X81" s="1"/>
      <c r="Y81" s="1"/>
      <c r="Z81" s="1"/>
      <c r="AA81" s="11"/>
      <c r="AB81" s="11"/>
      <c r="AC81" s="1"/>
      <c r="AD81" s="1"/>
      <c r="AE81" s="11"/>
      <c r="AF81" s="11"/>
      <c r="AG81" s="1"/>
      <c r="AH81" s="11"/>
      <c r="AI81" s="11"/>
      <c r="AJ81" s="1"/>
      <c r="AK81" s="1"/>
      <c r="AL81" s="11"/>
      <c r="AM81" s="11"/>
      <c r="AN81" s="1"/>
      <c r="AO81" s="1"/>
      <c r="AP81" s="1"/>
    </row>
    <row x14ac:dyDescent="0.25" r="82" customHeight="1" ht="18.75">
      <c r="A82" s="19">
        <f>+LEN(E82)</f>
      </c>
      <c r="B82" s="20" t="s">
        <v>481</v>
      </c>
      <c r="C82" s="21" t="s">
        <v>482</v>
      </c>
      <c r="D82" s="21" t="s">
        <v>165</v>
      </c>
      <c r="E82" s="22" t="s">
        <v>483</v>
      </c>
      <c r="F82" s="23" t="s">
        <v>127</v>
      </c>
      <c r="G82" s="1"/>
      <c r="H82" s="1"/>
      <c r="I82" s="1"/>
      <c r="J82" s="1"/>
      <c r="K82" s="1"/>
      <c r="L82" s="1"/>
      <c r="M82" s="34">
        <v>60107</v>
      </c>
      <c r="N82" s="35" t="s">
        <v>484</v>
      </c>
      <c r="O82" s="1"/>
      <c r="P82" s="1"/>
      <c r="Q82" s="11"/>
      <c r="R82" s="1"/>
      <c r="S82" s="1"/>
      <c r="T82" s="1"/>
      <c r="U82" s="1"/>
      <c r="V82" s="1"/>
      <c r="W82" s="1"/>
      <c r="X82" s="1"/>
      <c r="Y82" s="1"/>
      <c r="Z82" s="1"/>
      <c r="AA82" s="11"/>
      <c r="AB82" s="11"/>
      <c r="AC82" s="1"/>
      <c r="AD82" s="1"/>
      <c r="AE82" s="11"/>
      <c r="AF82" s="11"/>
      <c r="AG82" s="1"/>
      <c r="AH82" s="11"/>
      <c r="AI82" s="11"/>
      <c r="AJ82" s="1"/>
      <c r="AK82" s="1"/>
      <c r="AL82" s="11"/>
      <c r="AM82" s="11"/>
      <c r="AN82" s="1"/>
      <c r="AO82" s="1"/>
      <c r="AP82" s="1"/>
    </row>
    <row x14ac:dyDescent="0.25" r="83" customHeight="1" ht="18.75">
      <c r="A83" s="19">
        <f>+LEN(E83)</f>
      </c>
      <c r="B83" s="20" t="s">
        <v>485</v>
      </c>
      <c r="C83" s="21" t="s">
        <v>486</v>
      </c>
      <c r="D83" s="21" t="s">
        <v>137</v>
      </c>
      <c r="E83" s="22" t="s">
        <v>487</v>
      </c>
      <c r="F83" s="23" t="s">
        <v>127</v>
      </c>
      <c r="G83" s="1"/>
      <c r="H83" s="1"/>
      <c r="I83" s="1"/>
      <c r="J83" s="1"/>
      <c r="K83" s="1"/>
      <c r="L83" s="1"/>
      <c r="M83" s="34">
        <v>60108</v>
      </c>
      <c r="N83" s="35" t="s">
        <v>488</v>
      </c>
      <c r="O83" s="1"/>
      <c r="P83" s="1"/>
      <c r="Q83" s="11"/>
      <c r="R83" s="1"/>
      <c r="S83" s="1"/>
      <c r="T83" s="1"/>
      <c r="U83" s="1"/>
      <c r="V83" s="1"/>
      <c r="W83" s="1"/>
      <c r="X83" s="1"/>
      <c r="Y83" s="1"/>
      <c r="Z83" s="1"/>
      <c r="AA83" s="11"/>
      <c r="AB83" s="11"/>
      <c r="AC83" s="1"/>
      <c r="AD83" s="1"/>
      <c r="AE83" s="11"/>
      <c r="AF83" s="11"/>
      <c r="AG83" s="1"/>
      <c r="AH83" s="11"/>
      <c r="AI83" s="11"/>
      <c r="AJ83" s="1"/>
      <c r="AK83" s="1"/>
      <c r="AL83" s="11"/>
      <c r="AM83" s="11"/>
      <c r="AN83" s="1"/>
      <c r="AO83" s="1"/>
      <c r="AP83" s="1"/>
    </row>
    <row x14ac:dyDescent="0.25" r="84" customHeight="1" ht="18.75">
      <c r="A84" s="19">
        <f>+LEN(E84)</f>
      </c>
      <c r="B84" s="20" t="s">
        <v>489</v>
      </c>
      <c r="C84" s="21" t="s">
        <v>490</v>
      </c>
      <c r="D84" s="21" t="s">
        <v>137</v>
      </c>
      <c r="E84" s="22" t="s">
        <v>491</v>
      </c>
      <c r="F84" s="23" t="s">
        <v>127</v>
      </c>
      <c r="G84" s="1"/>
      <c r="H84" s="1"/>
      <c r="I84" s="1"/>
      <c r="J84" s="1"/>
      <c r="K84" s="1"/>
      <c r="L84" s="1"/>
      <c r="M84" s="34">
        <v>60109</v>
      </c>
      <c r="N84" s="35" t="s">
        <v>492</v>
      </c>
      <c r="O84" s="1"/>
      <c r="P84" s="1"/>
      <c r="Q84" s="11"/>
      <c r="R84" s="1"/>
      <c r="S84" s="1"/>
      <c r="T84" s="1"/>
      <c r="U84" s="1"/>
      <c r="V84" s="1"/>
      <c r="W84" s="1"/>
      <c r="X84" s="1"/>
      <c r="Y84" s="1"/>
      <c r="Z84" s="1"/>
      <c r="AA84" s="11"/>
      <c r="AB84" s="11"/>
      <c r="AC84" s="1"/>
      <c r="AD84" s="1"/>
      <c r="AE84" s="11"/>
      <c r="AF84" s="11"/>
      <c r="AG84" s="1"/>
      <c r="AH84" s="11"/>
      <c r="AI84" s="11"/>
      <c r="AJ84" s="1"/>
      <c r="AK84" s="1"/>
      <c r="AL84" s="11"/>
      <c r="AM84" s="11"/>
      <c r="AN84" s="1"/>
      <c r="AO84" s="1"/>
      <c r="AP84" s="1"/>
    </row>
    <row x14ac:dyDescent="0.25" r="85" customHeight="1" ht="18.75">
      <c r="A85" s="19">
        <f>+LEN(E85)</f>
      </c>
      <c r="B85" s="20" t="s">
        <v>493</v>
      </c>
      <c r="C85" s="21" t="s">
        <v>494</v>
      </c>
      <c r="D85" s="21" t="s">
        <v>137</v>
      </c>
      <c r="E85" s="22" t="s">
        <v>495</v>
      </c>
      <c r="F85" s="23" t="s">
        <v>127</v>
      </c>
      <c r="G85" s="1"/>
      <c r="H85" s="1"/>
      <c r="I85" s="1"/>
      <c r="J85" s="1"/>
      <c r="K85" s="1"/>
      <c r="L85" s="1"/>
      <c r="M85" s="34">
        <v>60201</v>
      </c>
      <c r="N85" s="35" t="s">
        <v>496</v>
      </c>
      <c r="O85" s="1"/>
      <c r="P85" s="1"/>
      <c r="Q85" s="11"/>
      <c r="R85" s="1"/>
      <c r="S85" s="1"/>
      <c r="T85" s="1"/>
      <c r="U85" s="1"/>
      <c r="V85" s="1"/>
      <c r="W85" s="1"/>
      <c r="X85" s="1"/>
      <c r="Y85" s="1"/>
      <c r="Z85" s="1"/>
      <c r="AA85" s="11"/>
      <c r="AB85" s="11"/>
      <c r="AC85" s="1"/>
      <c r="AD85" s="1"/>
      <c r="AE85" s="11"/>
      <c r="AF85" s="11"/>
      <c r="AG85" s="1"/>
      <c r="AH85" s="11"/>
      <c r="AI85" s="11"/>
      <c r="AJ85" s="1"/>
      <c r="AK85" s="1"/>
      <c r="AL85" s="11"/>
      <c r="AM85" s="11"/>
      <c r="AN85" s="1"/>
      <c r="AO85" s="1"/>
      <c r="AP85" s="1"/>
    </row>
    <row x14ac:dyDescent="0.25" r="86" customHeight="1" ht="18.75">
      <c r="A86" s="19">
        <f>+LEN(E86)</f>
      </c>
      <c r="B86" s="20" t="s">
        <v>497</v>
      </c>
      <c r="C86" s="21" t="s">
        <v>498</v>
      </c>
      <c r="D86" s="21" t="s">
        <v>137</v>
      </c>
      <c r="E86" s="22" t="s">
        <v>499</v>
      </c>
      <c r="F86" s="23" t="s">
        <v>127</v>
      </c>
      <c r="G86" s="1"/>
      <c r="H86" s="1"/>
      <c r="I86" s="1"/>
      <c r="J86" s="1"/>
      <c r="K86" s="1"/>
      <c r="L86" s="1"/>
      <c r="M86" s="34">
        <v>60202</v>
      </c>
      <c r="N86" s="35" t="s">
        <v>500</v>
      </c>
      <c r="O86" s="1"/>
      <c r="P86" s="1"/>
      <c r="Q86" s="11"/>
      <c r="R86" s="1"/>
      <c r="S86" s="1"/>
      <c r="T86" s="1"/>
      <c r="U86" s="1"/>
      <c r="V86" s="1"/>
      <c r="W86" s="1"/>
      <c r="X86" s="1"/>
      <c r="Y86" s="1"/>
      <c r="Z86" s="1"/>
      <c r="AA86" s="11"/>
      <c r="AB86" s="11"/>
      <c r="AC86" s="1"/>
      <c r="AD86" s="1"/>
      <c r="AE86" s="11"/>
      <c r="AF86" s="11"/>
      <c r="AG86" s="1"/>
      <c r="AH86" s="11"/>
      <c r="AI86" s="11"/>
      <c r="AJ86" s="1"/>
      <c r="AK86" s="1"/>
      <c r="AL86" s="11"/>
      <c r="AM86" s="11"/>
      <c r="AN86" s="1"/>
      <c r="AO86" s="1"/>
      <c r="AP86" s="1"/>
    </row>
    <row x14ac:dyDescent="0.25" r="87" customHeight="1" ht="18.75">
      <c r="A87" s="19">
        <f>+LEN(E87)</f>
      </c>
      <c r="B87" s="20" t="s">
        <v>501</v>
      </c>
      <c r="C87" s="21" t="s">
        <v>502</v>
      </c>
      <c r="D87" s="21" t="s">
        <v>137</v>
      </c>
      <c r="E87" s="22" t="s">
        <v>503</v>
      </c>
      <c r="F87" s="23" t="s">
        <v>127</v>
      </c>
      <c r="G87" s="1"/>
      <c r="H87" s="1"/>
      <c r="I87" s="1"/>
      <c r="J87" s="1"/>
      <c r="K87" s="1"/>
      <c r="L87" s="1"/>
      <c r="M87" s="34">
        <v>60301</v>
      </c>
      <c r="N87" s="35" t="s">
        <v>504</v>
      </c>
      <c r="O87" s="1"/>
      <c r="P87" s="1"/>
      <c r="Q87" s="11"/>
      <c r="R87" s="1"/>
      <c r="S87" s="1"/>
      <c r="T87" s="1"/>
      <c r="U87" s="1"/>
      <c r="V87" s="1"/>
      <c r="W87" s="1"/>
      <c r="X87" s="1"/>
      <c r="Y87" s="1"/>
      <c r="Z87" s="1"/>
      <c r="AA87" s="11"/>
      <c r="AB87" s="11"/>
      <c r="AC87" s="1"/>
      <c r="AD87" s="1"/>
      <c r="AE87" s="11"/>
      <c r="AF87" s="11"/>
      <c r="AG87" s="1"/>
      <c r="AH87" s="11"/>
      <c r="AI87" s="11"/>
      <c r="AJ87" s="1"/>
      <c r="AK87" s="1"/>
      <c r="AL87" s="11"/>
      <c r="AM87" s="11"/>
      <c r="AN87" s="1"/>
      <c r="AO87" s="1"/>
      <c r="AP87" s="1"/>
    </row>
    <row x14ac:dyDescent="0.25" r="88" customHeight="1" ht="18.75">
      <c r="A88" s="19">
        <f>+LEN(E88)</f>
      </c>
      <c r="B88" s="20" t="s">
        <v>505</v>
      </c>
      <c r="C88" s="21" t="s">
        <v>506</v>
      </c>
      <c r="D88" s="21" t="s">
        <v>137</v>
      </c>
      <c r="E88" s="22" t="s">
        <v>507</v>
      </c>
      <c r="F88" s="23" t="s">
        <v>127</v>
      </c>
      <c r="G88" s="1"/>
      <c r="H88" s="1"/>
      <c r="I88" s="1"/>
      <c r="J88" s="1"/>
      <c r="K88" s="1"/>
      <c r="L88" s="1"/>
      <c r="M88" s="11"/>
      <c r="N88" s="1"/>
      <c r="O88" s="1"/>
      <c r="P88" s="1"/>
      <c r="Q88" s="11"/>
      <c r="R88" s="1"/>
      <c r="S88" s="1"/>
      <c r="T88" s="1"/>
      <c r="U88" s="1"/>
      <c r="V88" s="1"/>
      <c r="W88" s="1"/>
      <c r="X88" s="1"/>
      <c r="Y88" s="1"/>
      <c r="Z88" s="1"/>
      <c r="AA88" s="11"/>
      <c r="AB88" s="11"/>
      <c r="AC88" s="1"/>
      <c r="AD88" s="1"/>
      <c r="AE88" s="11"/>
      <c r="AF88" s="11"/>
      <c r="AG88" s="1"/>
      <c r="AH88" s="11"/>
      <c r="AI88" s="11"/>
      <c r="AJ88" s="1"/>
      <c r="AK88" s="1"/>
      <c r="AL88" s="11"/>
      <c r="AM88" s="11"/>
      <c r="AN88" s="1"/>
      <c r="AO88" s="1"/>
      <c r="AP88" s="1"/>
    </row>
    <row x14ac:dyDescent="0.25" r="89" customHeight="1" ht="18.75">
      <c r="A89" s="19">
        <f>+LEN(E89)</f>
      </c>
      <c r="B89" s="20" t="s">
        <v>508</v>
      </c>
      <c r="C89" s="21" t="s">
        <v>509</v>
      </c>
      <c r="D89" s="21" t="s">
        <v>137</v>
      </c>
      <c r="E89" s="22" t="s">
        <v>510</v>
      </c>
      <c r="F89" s="23" t="s">
        <v>127</v>
      </c>
      <c r="G89" s="1"/>
      <c r="H89" s="1"/>
      <c r="I89" s="1"/>
      <c r="J89" s="1"/>
      <c r="K89" s="1"/>
      <c r="L89" s="1"/>
      <c r="M89" s="11"/>
      <c r="N89" s="1"/>
      <c r="O89" s="1"/>
      <c r="P89" s="1"/>
      <c r="Q89" s="11"/>
      <c r="R89" s="1"/>
      <c r="S89" s="1"/>
      <c r="T89" s="1"/>
      <c r="U89" s="1"/>
      <c r="V89" s="1"/>
      <c r="W89" s="1"/>
      <c r="X89" s="1"/>
      <c r="Y89" s="1"/>
      <c r="Z89" s="1"/>
      <c r="AA89" s="11"/>
      <c r="AB89" s="11"/>
      <c r="AC89" s="1"/>
      <c r="AD89" s="1"/>
      <c r="AE89" s="11"/>
      <c r="AF89" s="11"/>
      <c r="AG89" s="1"/>
      <c r="AH89" s="11"/>
      <c r="AI89" s="11"/>
      <c r="AJ89" s="1"/>
      <c r="AK89" s="1"/>
      <c r="AL89" s="11"/>
      <c r="AM89" s="11"/>
      <c r="AN89" s="1"/>
      <c r="AO89" s="1"/>
      <c r="AP89" s="1"/>
    </row>
    <row x14ac:dyDescent="0.25" r="90" customHeight="1" ht="18.75">
      <c r="A90" s="19">
        <f>+LEN(E90)</f>
      </c>
      <c r="B90" s="20" t="s">
        <v>511</v>
      </c>
      <c r="C90" s="21" t="s">
        <v>512</v>
      </c>
      <c r="D90" s="21" t="s">
        <v>137</v>
      </c>
      <c r="E90" s="22" t="s">
        <v>513</v>
      </c>
      <c r="F90" s="23" t="s">
        <v>127</v>
      </c>
      <c r="G90" s="1"/>
      <c r="H90" s="1"/>
      <c r="I90" s="1"/>
      <c r="J90" s="1"/>
      <c r="K90" s="1"/>
      <c r="L90" s="1"/>
      <c r="M90" s="11"/>
      <c r="N90" s="1"/>
      <c r="O90" s="1"/>
      <c r="P90" s="1"/>
      <c r="Q90" s="11"/>
      <c r="R90" s="1"/>
      <c r="S90" s="1"/>
      <c r="T90" s="1"/>
      <c r="U90" s="1"/>
      <c r="V90" s="1"/>
      <c r="W90" s="1"/>
      <c r="X90" s="1"/>
      <c r="Y90" s="1"/>
      <c r="Z90" s="1"/>
      <c r="AA90" s="11"/>
      <c r="AB90" s="11"/>
      <c r="AC90" s="1"/>
      <c r="AD90" s="1"/>
      <c r="AE90" s="11"/>
      <c r="AF90" s="11"/>
      <c r="AG90" s="1"/>
      <c r="AH90" s="11"/>
      <c r="AI90" s="11"/>
      <c r="AJ90" s="1"/>
      <c r="AK90" s="1"/>
      <c r="AL90" s="11"/>
      <c r="AM90" s="11"/>
      <c r="AN90" s="1"/>
      <c r="AO90" s="1"/>
      <c r="AP90" s="1"/>
    </row>
    <row x14ac:dyDescent="0.25" r="91" customHeight="1" ht="18.75">
      <c r="A91" s="19">
        <f>+LEN(E91)</f>
      </c>
      <c r="B91" s="20" t="s">
        <v>514</v>
      </c>
      <c r="C91" s="21" t="s">
        <v>515</v>
      </c>
      <c r="D91" s="21" t="s">
        <v>137</v>
      </c>
      <c r="E91" s="22" t="s">
        <v>516</v>
      </c>
      <c r="F91" s="23" t="s">
        <v>127</v>
      </c>
      <c r="G91" s="1"/>
      <c r="H91" s="1"/>
      <c r="I91" s="1"/>
      <c r="J91" s="1"/>
      <c r="K91" s="1"/>
      <c r="L91" s="1"/>
      <c r="M91" s="11"/>
      <c r="N91" s="1"/>
      <c r="O91" s="1"/>
      <c r="P91" s="1"/>
      <c r="Q91" s="11"/>
      <c r="R91" s="1"/>
      <c r="S91" s="1"/>
      <c r="T91" s="1"/>
      <c r="U91" s="1"/>
      <c r="V91" s="1"/>
      <c r="W91" s="1"/>
      <c r="X91" s="1"/>
      <c r="Y91" s="1"/>
      <c r="Z91" s="1"/>
      <c r="AA91" s="11"/>
      <c r="AB91" s="11"/>
      <c r="AC91" s="1"/>
      <c r="AD91" s="1"/>
      <c r="AE91" s="11"/>
      <c r="AF91" s="11"/>
      <c r="AG91" s="1"/>
      <c r="AH91" s="11"/>
      <c r="AI91" s="11"/>
      <c r="AJ91" s="1"/>
      <c r="AK91" s="1"/>
      <c r="AL91" s="11"/>
      <c r="AM91" s="11"/>
      <c r="AN91" s="1"/>
      <c r="AO91" s="1"/>
      <c r="AP91" s="1"/>
    </row>
    <row x14ac:dyDescent="0.25" r="92" customHeight="1" ht="18.75">
      <c r="A92" s="19">
        <f>+LEN(E92)</f>
      </c>
      <c r="B92" s="20" t="s">
        <v>517</v>
      </c>
      <c r="C92" s="21" t="s">
        <v>518</v>
      </c>
      <c r="D92" s="21" t="s">
        <v>137</v>
      </c>
      <c r="E92" s="22" t="s">
        <v>519</v>
      </c>
      <c r="F92" s="23" t="s">
        <v>127</v>
      </c>
      <c r="G92" s="1"/>
      <c r="H92" s="1"/>
      <c r="I92" s="1"/>
      <c r="J92" s="1"/>
      <c r="K92" s="1"/>
      <c r="L92" s="1"/>
      <c r="M92" s="11"/>
      <c r="N92" s="1"/>
      <c r="O92" s="1"/>
      <c r="P92" s="1"/>
      <c r="Q92" s="11"/>
      <c r="R92" s="1"/>
      <c r="S92" s="1"/>
      <c r="T92" s="1"/>
      <c r="U92" s="1"/>
      <c r="V92" s="1"/>
      <c r="W92" s="1"/>
      <c r="X92" s="1"/>
      <c r="Y92" s="1"/>
      <c r="Z92" s="1"/>
      <c r="AA92" s="11"/>
      <c r="AB92" s="11"/>
      <c r="AC92" s="1"/>
      <c r="AD92" s="1"/>
      <c r="AE92" s="11"/>
      <c r="AF92" s="11"/>
      <c r="AG92" s="1"/>
      <c r="AH92" s="11"/>
      <c r="AI92" s="11"/>
      <c r="AJ92" s="1"/>
      <c r="AK92" s="1"/>
      <c r="AL92" s="11"/>
      <c r="AM92" s="11"/>
      <c r="AN92" s="1"/>
      <c r="AO92" s="1"/>
      <c r="AP92" s="1"/>
    </row>
    <row x14ac:dyDescent="0.25" r="93" customHeight="1" ht="18.75">
      <c r="A93" s="19">
        <f>+LEN(E93)</f>
      </c>
      <c r="B93" s="20" t="s">
        <v>520</v>
      </c>
      <c r="C93" s="21" t="s">
        <v>521</v>
      </c>
      <c r="D93" s="21" t="s">
        <v>137</v>
      </c>
      <c r="E93" s="22" t="s">
        <v>522</v>
      </c>
      <c r="F93" s="23" t="s">
        <v>127</v>
      </c>
      <c r="G93" s="1"/>
      <c r="H93" s="1"/>
      <c r="I93" s="1"/>
      <c r="J93" s="1"/>
      <c r="K93" s="1"/>
      <c r="L93" s="1"/>
      <c r="M93" s="11"/>
      <c r="N93" s="1"/>
      <c r="O93" s="1"/>
      <c r="P93" s="1"/>
      <c r="Q93" s="11"/>
      <c r="R93" s="1"/>
      <c r="S93" s="1"/>
      <c r="T93" s="1"/>
      <c r="U93" s="1"/>
      <c r="V93" s="1"/>
      <c r="W93" s="1"/>
      <c r="X93" s="1"/>
      <c r="Y93" s="1"/>
      <c r="Z93" s="1"/>
      <c r="AA93" s="11"/>
      <c r="AB93" s="11"/>
      <c r="AC93" s="1"/>
      <c r="AD93" s="1"/>
      <c r="AE93" s="11"/>
      <c r="AF93" s="11"/>
      <c r="AG93" s="1"/>
      <c r="AH93" s="11"/>
      <c r="AI93" s="11"/>
      <c r="AJ93" s="1"/>
      <c r="AK93" s="1"/>
      <c r="AL93" s="11"/>
      <c r="AM93" s="11"/>
      <c r="AN93" s="1"/>
      <c r="AO93" s="1"/>
      <c r="AP93" s="1"/>
    </row>
    <row x14ac:dyDescent="0.25" r="94" customHeight="1" ht="18.75">
      <c r="A94" s="19">
        <f>+LEN(E94)</f>
      </c>
      <c r="B94" s="20" t="s">
        <v>523</v>
      </c>
      <c r="C94" s="21" t="s">
        <v>524</v>
      </c>
      <c r="D94" s="21" t="s">
        <v>137</v>
      </c>
      <c r="E94" s="22" t="s">
        <v>525</v>
      </c>
      <c r="F94" s="23" t="s">
        <v>127</v>
      </c>
      <c r="G94" s="1"/>
      <c r="H94" s="1"/>
      <c r="I94" s="1"/>
      <c r="J94" s="1"/>
      <c r="K94" s="1"/>
      <c r="L94" s="1"/>
      <c r="M94" s="11"/>
      <c r="N94" s="1"/>
      <c r="O94" s="1"/>
      <c r="P94" s="1"/>
      <c r="Q94" s="11"/>
      <c r="R94" s="1"/>
      <c r="S94" s="1"/>
      <c r="T94" s="1"/>
      <c r="U94" s="1"/>
      <c r="V94" s="1"/>
      <c r="W94" s="1"/>
      <c r="X94" s="1"/>
      <c r="Y94" s="1"/>
      <c r="Z94" s="1"/>
      <c r="AA94" s="11"/>
      <c r="AB94" s="11"/>
      <c r="AC94" s="1"/>
      <c r="AD94" s="1"/>
      <c r="AE94" s="11"/>
      <c r="AF94" s="11"/>
      <c r="AG94" s="1"/>
      <c r="AH94" s="11"/>
      <c r="AI94" s="11"/>
      <c r="AJ94" s="1"/>
      <c r="AK94" s="1"/>
      <c r="AL94" s="11"/>
      <c r="AM94" s="11"/>
      <c r="AN94" s="1"/>
      <c r="AO94" s="1"/>
      <c r="AP94" s="1"/>
    </row>
    <row x14ac:dyDescent="0.25" r="95" customHeight="1" ht="18.75">
      <c r="A95" s="19">
        <f>+LEN(E95)</f>
      </c>
      <c r="B95" s="54">
        <v>46088732</v>
      </c>
      <c r="C95" s="21" t="s">
        <v>526</v>
      </c>
      <c r="D95" s="21" t="s">
        <v>137</v>
      </c>
      <c r="E95" s="22" t="s">
        <v>527</v>
      </c>
      <c r="F95" s="23" t="s">
        <v>127</v>
      </c>
      <c r="G95" s="1"/>
      <c r="H95" s="1"/>
      <c r="I95" s="1"/>
      <c r="J95" s="1"/>
      <c r="K95" s="1"/>
      <c r="L95" s="1"/>
      <c r="M95" s="11"/>
      <c r="N95" s="1"/>
      <c r="O95" s="1"/>
      <c r="P95" s="1"/>
      <c r="Q95" s="11"/>
      <c r="R95" s="1"/>
      <c r="S95" s="1"/>
      <c r="T95" s="1"/>
      <c r="U95" s="1"/>
      <c r="V95" s="1"/>
      <c r="W95" s="1"/>
      <c r="X95" s="1"/>
      <c r="Y95" s="1"/>
      <c r="Z95" s="1"/>
      <c r="AA95" s="11"/>
      <c r="AB95" s="11"/>
      <c r="AC95" s="1"/>
      <c r="AD95" s="1"/>
      <c r="AE95" s="11"/>
      <c r="AF95" s="11"/>
      <c r="AG95" s="1"/>
      <c r="AH95" s="11"/>
      <c r="AI95" s="11"/>
      <c r="AJ95" s="1"/>
      <c r="AK95" s="1"/>
      <c r="AL95" s="11"/>
      <c r="AM95" s="11"/>
      <c r="AN95" s="1"/>
      <c r="AO95" s="1"/>
      <c r="AP95" s="1"/>
    </row>
    <row x14ac:dyDescent="0.25" r="96" customHeight="1" ht="18.75">
      <c r="A96" s="19">
        <f>+LEN(E96)</f>
      </c>
      <c r="B96" s="20" t="s">
        <v>528</v>
      </c>
      <c r="C96" s="21" t="s">
        <v>529</v>
      </c>
      <c r="D96" s="21" t="s">
        <v>137</v>
      </c>
      <c r="E96" s="22" t="s">
        <v>530</v>
      </c>
      <c r="F96" s="23" t="s">
        <v>127</v>
      </c>
      <c r="G96" s="1"/>
      <c r="H96" s="1"/>
      <c r="I96" s="1"/>
      <c r="J96" s="1"/>
      <c r="K96" s="1"/>
      <c r="L96" s="1"/>
      <c r="M96" s="11"/>
      <c r="N96" s="1"/>
      <c r="O96" s="1"/>
      <c r="P96" s="1"/>
      <c r="Q96" s="11"/>
      <c r="R96" s="1"/>
      <c r="S96" s="1"/>
      <c r="T96" s="1"/>
      <c r="U96" s="1"/>
      <c r="V96" s="1"/>
      <c r="W96" s="1"/>
      <c r="X96" s="1"/>
      <c r="Y96" s="1"/>
      <c r="Z96" s="1"/>
      <c r="AA96" s="11"/>
      <c r="AB96" s="11"/>
      <c r="AC96" s="1"/>
      <c r="AD96" s="1"/>
      <c r="AE96" s="11"/>
      <c r="AF96" s="11"/>
      <c r="AG96" s="1"/>
      <c r="AH96" s="11"/>
      <c r="AI96" s="11"/>
      <c r="AJ96" s="1"/>
      <c r="AK96" s="1"/>
      <c r="AL96" s="11"/>
      <c r="AM96" s="11"/>
      <c r="AN96" s="1"/>
      <c r="AO96" s="1"/>
      <c r="AP96" s="1"/>
    </row>
    <row x14ac:dyDescent="0.25" r="97" customHeight="1" ht="18.75">
      <c r="A97" s="19">
        <f>+LEN(E97)</f>
      </c>
      <c r="B97" s="20" t="s">
        <v>531</v>
      </c>
      <c r="C97" s="21" t="s">
        <v>532</v>
      </c>
      <c r="D97" s="21" t="s">
        <v>137</v>
      </c>
      <c r="E97" s="22" t="s">
        <v>533</v>
      </c>
      <c r="F97" s="23" t="s">
        <v>127</v>
      </c>
      <c r="G97" s="1"/>
      <c r="H97" s="1"/>
      <c r="I97" s="1"/>
      <c r="J97" s="1"/>
      <c r="K97" s="1"/>
      <c r="L97" s="1"/>
      <c r="M97" s="11"/>
      <c r="N97" s="1"/>
      <c r="O97" s="1"/>
      <c r="P97" s="1"/>
      <c r="Q97" s="11"/>
      <c r="R97" s="1"/>
      <c r="S97" s="1"/>
      <c r="T97" s="1"/>
      <c r="U97" s="1"/>
      <c r="V97" s="1"/>
      <c r="W97" s="1"/>
      <c r="X97" s="1"/>
      <c r="Y97" s="1"/>
      <c r="Z97" s="1"/>
      <c r="AA97" s="11"/>
      <c r="AB97" s="11"/>
      <c r="AC97" s="1"/>
      <c r="AD97" s="1"/>
      <c r="AE97" s="11"/>
      <c r="AF97" s="11"/>
      <c r="AG97" s="1"/>
      <c r="AH97" s="11"/>
      <c r="AI97" s="11"/>
      <c r="AJ97" s="1"/>
      <c r="AK97" s="1"/>
      <c r="AL97" s="11"/>
      <c r="AM97" s="11"/>
      <c r="AN97" s="1"/>
      <c r="AO97" s="1"/>
      <c r="AP97" s="1"/>
    </row>
    <row x14ac:dyDescent="0.25" r="98" customHeight="1" ht="18.75">
      <c r="A98" s="19">
        <f>+LEN(E98)</f>
      </c>
      <c r="B98" s="20" t="s">
        <v>534</v>
      </c>
      <c r="C98" s="21" t="s">
        <v>535</v>
      </c>
      <c r="D98" s="21" t="s">
        <v>137</v>
      </c>
      <c r="E98" s="22" t="s">
        <v>536</v>
      </c>
      <c r="F98" s="23" t="s">
        <v>127</v>
      </c>
      <c r="G98" s="1"/>
      <c r="H98" s="1"/>
      <c r="I98" s="1"/>
      <c r="J98" s="1"/>
      <c r="K98" s="1"/>
      <c r="L98" s="1"/>
      <c r="M98" s="11"/>
      <c r="N98" s="1"/>
      <c r="O98" s="1"/>
      <c r="P98" s="1"/>
      <c r="Q98" s="11"/>
      <c r="R98" s="1"/>
      <c r="S98" s="1"/>
      <c r="T98" s="1"/>
      <c r="U98" s="1"/>
      <c r="V98" s="1"/>
      <c r="W98" s="1"/>
      <c r="X98" s="1"/>
      <c r="Y98" s="1"/>
      <c r="Z98" s="1"/>
      <c r="AA98" s="11"/>
      <c r="AB98" s="11"/>
      <c r="AC98" s="1"/>
      <c r="AD98" s="1"/>
      <c r="AE98" s="11"/>
      <c r="AF98" s="11"/>
      <c r="AG98" s="1"/>
      <c r="AH98" s="11"/>
      <c r="AI98" s="11"/>
      <c r="AJ98" s="1"/>
      <c r="AK98" s="1"/>
      <c r="AL98" s="11"/>
      <c r="AM98" s="11"/>
      <c r="AN98" s="1"/>
      <c r="AO98" s="1"/>
      <c r="AP98" s="1"/>
    </row>
    <row x14ac:dyDescent="0.25" r="99" customHeight="1" ht="18.75">
      <c r="A99" s="19">
        <f>+LEN(E99)</f>
      </c>
      <c r="B99" s="20" t="s">
        <v>537</v>
      </c>
      <c r="C99" s="21" t="s">
        <v>538</v>
      </c>
      <c r="D99" s="21" t="s">
        <v>137</v>
      </c>
      <c r="E99" s="22" t="s">
        <v>539</v>
      </c>
      <c r="F99" s="23" t="s">
        <v>127</v>
      </c>
      <c r="G99" s="1"/>
      <c r="H99" s="1"/>
      <c r="I99" s="1"/>
      <c r="J99" s="1"/>
      <c r="K99" s="1"/>
      <c r="L99" s="1"/>
      <c r="M99" s="11"/>
      <c r="N99" s="1"/>
      <c r="O99" s="1"/>
      <c r="P99" s="1"/>
      <c r="Q99" s="11"/>
      <c r="R99" s="1"/>
      <c r="S99" s="1"/>
      <c r="T99" s="1"/>
      <c r="U99" s="1"/>
      <c r="V99" s="1"/>
      <c r="W99" s="1"/>
      <c r="X99" s="1"/>
      <c r="Y99" s="1"/>
      <c r="Z99" s="1"/>
      <c r="AA99" s="11"/>
      <c r="AB99" s="11"/>
      <c r="AC99" s="1"/>
      <c r="AD99" s="1"/>
      <c r="AE99" s="11"/>
      <c r="AF99" s="11"/>
      <c r="AG99" s="1"/>
      <c r="AH99" s="11"/>
      <c r="AI99" s="11"/>
      <c r="AJ99" s="1"/>
      <c r="AK99" s="1"/>
      <c r="AL99" s="11"/>
      <c r="AM99" s="11"/>
      <c r="AN99" s="1"/>
      <c r="AO99" s="1"/>
      <c r="AP99" s="1"/>
    </row>
    <row x14ac:dyDescent="0.25" r="100" customHeight="1" ht="18.75">
      <c r="A100" s="19">
        <f>+LEN(E100)</f>
      </c>
      <c r="B100" s="20" t="s">
        <v>540</v>
      </c>
      <c r="C100" s="21" t="s">
        <v>541</v>
      </c>
      <c r="D100" s="21" t="s">
        <v>165</v>
      </c>
      <c r="E100" s="22" t="s">
        <v>542</v>
      </c>
      <c r="F100" s="23" t="s">
        <v>127</v>
      </c>
      <c r="G100" s="1"/>
      <c r="H100" s="1"/>
      <c r="I100" s="1"/>
      <c r="J100" s="1"/>
      <c r="K100" s="1"/>
      <c r="L100" s="1"/>
      <c r="M100" s="11"/>
      <c r="N100" s="1"/>
      <c r="O100" s="1"/>
      <c r="P100" s="1"/>
      <c r="Q100" s="11"/>
      <c r="R100" s="1"/>
      <c r="S100" s="1"/>
      <c r="T100" s="1"/>
      <c r="U100" s="1"/>
      <c r="V100" s="1"/>
      <c r="W100" s="1"/>
      <c r="X100" s="1"/>
      <c r="Y100" s="1"/>
      <c r="Z100" s="1"/>
      <c r="AA100" s="11"/>
      <c r="AB100" s="11"/>
      <c r="AC100" s="1"/>
      <c r="AD100" s="1"/>
      <c r="AE100" s="11"/>
      <c r="AF100" s="11"/>
      <c r="AG100" s="1"/>
      <c r="AH100" s="11"/>
      <c r="AI100" s="11"/>
      <c r="AJ100" s="1"/>
      <c r="AK100" s="1"/>
      <c r="AL100" s="11"/>
      <c r="AM100" s="11"/>
      <c r="AN100" s="1"/>
      <c r="AO100" s="1"/>
      <c r="AP100" s="1"/>
    </row>
    <row x14ac:dyDescent="0.25" r="101" customHeight="1" ht="18.75">
      <c r="A101" s="19">
        <f>+LEN(E101)</f>
      </c>
      <c r="B101" s="54">
        <v>74026996</v>
      </c>
      <c r="C101" s="21" t="s">
        <v>543</v>
      </c>
      <c r="D101" s="21" t="s">
        <v>137</v>
      </c>
      <c r="E101" s="22" t="s">
        <v>544</v>
      </c>
      <c r="F101" s="23" t="s">
        <v>127</v>
      </c>
      <c r="G101" s="1"/>
      <c r="H101" s="1"/>
      <c r="I101" s="1"/>
      <c r="J101" s="1"/>
      <c r="K101" s="1"/>
      <c r="L101" s="1"/>
      <c r="M101" s="11"/>
      <c r="N101" s="1"/>
      <c r="O101" s="1"/>
      <c r="P101" s="1"/>
      <c r="Q101" s="11"/>
      <c r="R101" s="1"/>
      <c r="S101" s="1"/>
      <c r="T101" s="1"/>
      <c r="U101" s="1"/>
      <c r="V101" s="1"/>
      <c r="W101" s="1"/>
      <c r="X101" s="1"/>
      <c r="Y101" s="1"/>
      <c r="Z101" s="1"/>
      <c r="AA101" s="11"/>
      <c r="AB101" s="11"/>
      <c r="AC101" s="1"/>
      <c r="AD101" s="1"/>
      <c r="AE101" s="11"/>
      <c r="AF101" s="11"/>
      <c r="AG101" s="1"/>
      <c r="AH101" s="11"/>
      <c r="AI101" s="11"/>
      <c r="AJ101" s="1"/>
      <c r="AK101" s="1"/>
      <c r="AL101" s="11"/>
      <c r="AM101" s="11"/>
      <c r="AN101" s="1"/>
      <c r="AO101" s="1"/>
      <c r="AP101" s="1"/>
    </row>
    <row x14ac:dyDescent="0.25" r="102" customHeight="1" ht="18.75">
      <c r="A102" s="19">
        <f>+LEN(E102)</f>
      </c>
      <c r="B102" s="20" t="s">
        <v>545</v>
      </c>
      <c r="C102" s="21" t="s">
        <v>546</v>
      </c>
      <c r="D102" s="21" t="s">
        <v>137</v>
      </c>
      <c r="E102" s="22" t="s">
        <v>547</v>
      </c>
      <c r="F102" s="23" t="s">
        <v>127</v>
      </c>
      <c r="G102" s="1"/>
      <c r="H102" s="1"/>
      <c r="I102" s="1"/>
      <c r="J102" s="1"/>
      <c r="K102" s="1"/>
      <c r="L102" s="1"/>
      <c r="M102" s="11"/>
      <c r="N102" s="1"/>
      <c r="O102" s="1"/>
      <c r="P102" s="1"/>
      <c r="Q102" s="11"/>
      <c r="R102" s="1"/>
      <c r="S102" s="1"/>
      <c r="T102" s="1"/>
      <c r="U102" s="1"/>
      <c r="V102" s="1"/>
      <c r="W102" s="1"/>
      <c r="X102" s="1"/>
      <c r="Y102" s="1"/>
      <c r="Z102" s="1"/>
      <c r="AA102" s="11"/>
      <c r="AB102" s="11"/>
      <c r="AC102" s="1"/>
      <c r="AD102" s="1"/>
      <c r="AE102" s="11"/>
      <c r="AF102" s="11"/>
      <c r="AG102" s="1"/>
      <c r="AH102" s="11"/>
      <c r="AI102" s="11"/>
      <c r="AJ102" s="1"/>
      <c r="AK102" s="1"/>
      <c r="AL102" s="11"/>
      <c r="AM102" s="11"/>
      <c r="AN102" s="1"/>
      <c r="AO102" s="1"/>
      <c r="AP102" s="1"/>
    </row>
    <row x14ac:dyDescent="0.25" r="103" customHeight="1" ht="18.75">
      <c r="A103" s="19">
        <f>+LEN(E103)</f>
      </c>
      <c r="B103" s="20" t="s">
        <v>548</v>
      </c>
      <c r="C103" s="21" t="s">
        <v>549</v>
      </c>
      <c r="D103" s="21" t="s">
        <v>137</v>
      </c>
      <c r="E103" s="22" t="s">
        <v>550</v>
      </c>
      <c r="F103" s="23" t="s">
        <v>127</v>
      </c>
      <c r="G103" s="1"/>
      <c r="H103" s="1"/>
      <c r="I103" s="1"/>
      <c r="J103" s="1"/>
      <c r="K103" s="1"/>
      <c r="L103" s="1"/>
      <c r="M103" s="11"/>
      <c r="N103" s="1"/>
      <c r="O103" s="1"/>
      <c r="P103" s="1"/>
      <c r="Q103" s="11"/>
      <c r="R103" s="1"/>
      <c r="S103" s="1"/>
      <c r="T103" s="1"/>
      <c r="U103" s="1"/>
      <c r="V103" s="1"/>
      <c r="W103" s="1"/>
      <c r="X103" s="1"/>
      <c r="Y103" s="1"/>
      <c r="Z103" s="1"/>
      <c r="AA103" s="11"/>
      <c r="AB103" s="11"/>
      <c r="AC103" s="1"/>
      <c r="AD103" s="1"/>
      <c r="AE103" s="11"/>
      <c r="AF103" s="11"/>
      <c r="AG103" s="1"/>
      <c r="AH103" s="11"/>
      <c r="AI103" s="11"/>
      <c r="AJ103" s="1"/>
      <c r="AK103" s="1"/>
      <c r="AL103" s="11"/>
      <c r="AM103" s="11"/>
      <c r="AN103" s="1"/>
      <c r="AO103" s="1"/>
      <c r="AP103" s="1"/>
    </row>
    <row x14ac:dyDescent="0.25" r="104" customHeight="1" ht="18.75">
      <c r="A104" s="19">
        <f>+LEN(E104)</f>
      </c>
      <c r="B104" s="20" t="s">
        <v>551</v>
      </c>
      <c r="C104" s="21" t="s">
        <v>552</v>
      </c>
      <c r="D104" s="21" t="s">
        <v>137</v>
      </c>
      <c r="E104" s="22" t="s">
        <v>553</v>
      </c>
      <c r="F104" s="23" t="s">
        <v>127</v>
      </c>
      <c r="G104" s="1"/>
      <c r="H104" s="1"/>
      <c r="I104" s="1"/>
      <c r="J104" s="1"/>
      <c r="K104" s="1"/>
      <c r="L104" s="1"/>
      <c r="M104" s="11"/>
      <c r="N104" s="1"/>
      <c r="O104" s="1"/>
      <c r="P104" s="1"/>
      <c r="Q104" s="11"/>
      <c r="R104" s="1"/>
      <c r="S104" s="1"/>
      <c r="T104" s="1"/>
      <c r="U104" s="1"/>
      <c r="V104" s="1"/>
      <c r="W104" s="1"/>
      <c r="X104" s="1"/>
      <c r="Y104" s="1"/>
      <c r="Z104" s="1"/>
      <c r="AA104" s="11"/>
      <c r="AB104" s="11"/>
      <c r="AC104" s="1"/>
      <c r="AD104" s="1"/>
      <c r="AE104" s="11"/>
      <c r="AF104" s="11"/>
      <c r="AG104" s="1"/>
      <c r="AH104" s="11"/>
      <c r="AI104" s="11"/>
      <c r="AJ104" s="1"/>
      <c r="AK104" s="1"/>
      <c r="AL104" s="11"/>
      <c r="AM104" s="11"/>
      <c r="AN104" s="1"/>
      <c r="AO104" s="1"/>
      <c r="AP104" s="1"/>
    </row>
    <row x14ac:dyDescent="0.25" r="105" customHeight="1" ht="18.75">
      <c r="A105" s="19">
        <f>+LEN(E105)</f>
      </c>
      <c r="B105" s="20" t="s">
        <v>554</v>
      </c>
      <c r="C105" s="21" t="s">
        <v>555</v>
      </c>
      <c r="D105" s="21" t="s">
        <v>137</v>
      </c>
      <c r="E105" s="22" t="s">
        <v>556</v>
      </c>
      <c r="F105" s="23" t="s">
        <v>127</v>
      </c>
      <c r="G105" s="1"/>
      <c r="H105" s="1"/>
      <c r="I105" s="1"/>
      <c r="J105" s="1"/>
      <c r="K105" s="1"/>
      <c r="L105" s="1"/>
      <c r="M105" s="11"/>
      <c r="N105" s="1"/>
      <c r="O105" s="1"/>
      <c r="P105" s="1"/>
      <c r="Q105" s="11"/>
      <c r="R105" s="1"/>
      <c r="S105" s="1"/>
      <c r="T105" s="1"/>
      <c r="U105" s="1"/>
      <c r="V105" s="1"/>
      <c r="W105" s="1"/>
      <c r="X105" s="1"/>
      <c r="Y105" s="1"/>
      <c r="Z105" s="1"/>
      <c r="AA105" s="11"/>
      <c r="AB105" s="11"/>
      <c r="AC105" s="1"/>
      <c r="AD105" s="1"/>
      <c r="AE105" s="11"/>
      <c r="AF105" s="11"/>
      <c r="AG105" s="1"/>
      <c r="AH105" s="11"/>
      <c r="AI105" s="11"/>
      <c r="AJ105" s="1"/>
      <c r="AK105" s="1"/>
      <c r="AL105" s="11"/>
      <c r="AM105" s="11"/>
      <c r="AN105" s="1"/>
      <c r="AO105" s="1"/>
      <c r="AP105" s="1"/>
    </row>
    <row x14ac:dyDescent="0.25" r="106" customHeight="1" ht="18.75">
      <c r="A106" s="19">
        <f>+LEN(E106)</f>
      </c>
      <c r="B106" s="20" t="s">
        <v>557</v>
      </c>
      <c r="C106" s="21" t="s">
        <v>558</v>
      </c>
      <c r="D106" s="21" t="s">
        <v>137</v>
      </c>
      <c r="E106" s="22" t="s">
        <v>559</v>
      </c>
      <c r="F106" s="23" t="s">
        <v>127</v>
      </c>
      <c r="G106" s="1"/>
      <c r="H106" s="1"/>
      <c r="I106" s="1"/>
      <c r="J106" s="1"/>
      <c r="K106" s="1"/>
      <c r="L106" s="1"/>
      <c r="M106" s="11"/>
      <c r="N106" s="1"/>
      <c r="O106" s="1"/>
      <c r="P106" s="1"/>
      <c r="Q106" s="11"/>
      <c r="R106" s="1"/>
      <c r="S106" s="1"/>
      <c r="T106" s="1"/>
      <c r="U106" s="1"/>
      <c r="V106" s="1"/>
      <c r="W106" s="1"/>
      <c r="X106" s="1"/>
      <c r="Y106" s="1"/>
      <c r="Z106" s="1"/>
      <c r="AA106" s="11"/>
      <c r="AB106" s="11"/>
      <c r="AC106" s="1"/>
      <c r="AD106" s="1"/>
      <c r="AE106" s="11"/>
      <c r="AF106" s="11"/>
      <c r="AG106" s="1"/>
      <c r="AH106" s="11"/>
      <c r="AI106" s="11"/>
      <c r="AJ106" s="1"/>
      <c r="AK106" s="1"/>
      <c r="AL106" s="11"/>
      <c r="AM106" s="11"/>
      <c r="AN106" s="1"/>
      <c r="AO106" s="1"/>
      <c r="AP106" s="1"/>
    </row>
    <row x14ac:dyDescent="0.25" r="107" customHeight="1" ht="18.75">
      <c r="A107" s="19">
        <f>+LEN(E107)</f>
      </c>
      <c r="B107" s="20" t="s">
        <v>560</v>
      </c>
      <c r="C107" s="21" t="s">
        <v>561</v>
      </c>
      <c r="D107" s="21" t="s">
        <v>137</v>
      </c>
      <c r="E107" s="22" t="s">
        <v>562</v>
      </c>
      <c r="F107" s="23" t="s">
        <v>127</v>
      </c>
      <c r="G107" s="1"/>
      <c r="H107" s="1"/>
      <c r="I107" s="1"/>
      <c r="J107" s="1"/>
      <c r="K107" s="1"/>
      <c r="L107" s="1"/>
      <c r="M107" s="11"/>
      <c r="N107" s="1"/>
      <c r="O107" s="1"/>
      <c r="P107" s="1"/>
      <c r="Q107" s="11"/>
      <c r="R107" s="1"/>
      <c r="S107" s="1"/>
      <c r="T107" s="1"/>
      <c r="U107" s="1"/>
      <c r="V107" s="1"/>
      <c r="W107" s="1"/>
      <c r="X107" s="1"/>
      <c r="Y107" s="1"/>
      <c r="Z107" s="1"/>
      <c r="AA107" s="11"/>
      <c r="AB107" s="11"/>
      <c r="AC107" s="1"/>
      <c r="AD107" s="1"/>
      <c r="AE107" s="11"/>
      <c r="AF107" s="11"/>
      <c r="AG107" s="1"/>
      <c r="AH107" s="11"/>
      <c r="AI107" s="11"/>
      <c r="AJ107" s="1"/>
      <c r="AK107" s="1"/>
      <c r="AL107" s="11"/>
      <c r="AM107" s="11"/>
      <c r="AN107" s="1"/>
      <c r="AO107" s="1"/>
      <c r="AP107" s="1"/>
    </row>
    <row x14ac:dyDescent="0.25" r="108" customHeight="1" ht="18.75">
      <c r="A108" s="19">
        <f>+LEN(E108)</f>
      </c>
      <c r="B108" s="20" t="s">
        <v>563</v>
      </c>
      <c r="C108" s="21" t="s">
        <v>564</v>
      </c>
      <c r="D108" s="21" t="s">
        <v>137</v>
      </c>
      <c r="E108" s="22" t="s">
        <v>565</v>
      </c>
      <c r="F108" s="23" t="s">
        <v>127</v>
      </c>
      <c r="G108" s="1"/>
      <c r="H108" s="1"/>
      <c r="I108" s="1"/>
      <c r="J108" s="1"/>
      <c r="K108" s="1"/>
      <c r="L108" s="1"/>
      <c r="M108" s="11"/>
      <c r="N108" s="1"/>
      <c r="O108" s="1"/>
      <c r="P108" s="1"/>
      <c r="Q108" s="11"/>
      <c r="R108" s="1"/>
      <c r="S108" s="1"/>
      <c r="T108" s="1"/>
      <c r="U108" s="1"/>
      <c r="V108" s="1"/>
      <c r="W108" s="1"/>
      <c r="X108" s="1"/>
      <c r="Y108" s="1"/>
      <c r="Z108" s="1"/>
      <c r="AA108" s="11"/>
      <c r="AB108" s="11"/>
      <c r="AC108" s="1"/>
      <c r="AD108" s="1"/>
      <c r="AE108" s="11"/>
      <c r="AF108" s="11"/>
      <c r="AG108" s="1"/>
      <c r="AH108" s="11"/>
      <c r="AI108" s="11"/>
      <c r="AJ108" s="1"/>
      <c r="AK108" s="1"/>
      <c r="AL108" s="11"/>
      <c r="AM108" s="11"/>
      <c r="AN108" s="1"/>
      <c r="AO108" s="1"/>
      <c r="AP108" s="1"/>
    </row>
    <row x14ac:dyDescent="0.25" r="109" customHeight="1" ht="18.75">
      <c r="A109" s="19">
        <f>+LEN(E109)</f>
      </c>
      <c r="B109" s="20" t="s">
        <v>566</v>
      </c>
      <c r="C109" s="21" t="s">
        <v>567</v>
      </c>
      <c r="D109" s="21" t="s">
        <v>165</v>
      </c>
      <c r="E109" s="22" t="s">
        <v>568</v>
      </c>
      <c r="F109" s="23" t="s">
        <v>127</v>
      </c>
      <c r="G109" s="1"/>
      <c r="H109" s="1"/>
      <c r="I109" s="1"/>
      <c r="J109" s="1"/>
      <c r="K109" s="1"/>
      <c r="L109" s="1"/>
      <c r="M109" s="11"/>
      <c r="N109" s="1"/>
      <c r="O109" s="1"/>
      <c r="P109" s="1"/>
      <c r="Q109" s="11"/>
      <c r="R109" s="1"/>
      <c r="S109" s="1"/>
      <c r="T109" s="1"/>
      <c r="U109" s="1"/>
      <c r="V109" s="1"/>
      <c r="W109" s="1"/>
      <c r="X109" s="1"/>
      <c r="Y109" s="1"/>
      <c r="Z109" s="1"/>
      <c r="AA109" s="11"/>
      <c r="AB109" s="11"/>
      <c r="AC109" s="1"/>
      <c r="AD109" s="1"/>
      <c r="AE109" s="11"/>
      <c r="AF109" s="11"/>
      <c r="AG109" s="1"/>
      <c r="AH109" s="11"/>
      <c r="AI109" s="11"/>
      <c r="AJ109" s="1"/>
      <c r="AK109" s="1"/>
      <c r="AL109" s="11"/>
      <c r="AM109" s="11"/>
      <c r="AN109" s="1"/>
      <c r="AO109" s="1"/>
      <c r="AP109" s="1"/>
    </row>
    <row x14ac:dyDescent="0.25" r="110" customHeight="1" ht="18.75">
      <c r="A110" s="19">
        <f>+LEN(E110)</f>
      </c>
      <c r="B110" s="20" t="s">
        <v>569</v>
      </c>
      <c r="C110" s="21" t="s">
        <v>570</v>
      </c>
      <c r="D110" s="21" t="s">
        <v>137</v>
      </c>
      <c r="E110" s="22" t="s">
        <v>571</v>
      </c>
      <c r="F110" s="23" t="s">
        <v>127</v>
      </c>
      <c r="G110" s="1"/>
      <c r="H110" s="1"/>
      <c r="I110" s="1"/>
      <c r="J110" s="1"/>
      <c r="K110" s="1"/>
      <c r="L110" s="1"/>
      <c r="M110" s="11"/>
      <c r="N110" s="1"/>
      <c r="O110" s="1"/>
      <c r="P110" s="1"/>
      <c r="Q110" s="11"/>
      <c r="R110" s="1"/>
      <c r="S110" s="1"/>
      <c r="T110" s="1"/>
      <c r="U110" s="1"/>
      <c r="V110" s="1"/>
      <c r="W110" s="1"/>
      <c r="X110" s="1"/>
      <c r="Y110" s="1"/>
      <c r="Z110" s="1"/>
      <c r="AA110" s="11"/>
      <c r="AB110" s="11"/>
      <c r="AC110" s="1"/>
      <c r="AD110" s="1"/>
      <c r="AE110" s="11"/>
      <c r="AF110" s="11"/>
      <c r="AG110" s="1"/>
      <c r="AH110" s="11"/>
      <c r="AI110" s="11"/>
      <c r="AJ110" s="1"/>
      <c r="AK110" s="1"/>
      <c r="AL110" s="11"/>
      <c r="AM110" s="11"/>
      <c r="AN110" s="1"/>
      <c r="AO110" s="1"/>
      <c r="AP110" s="1"/>
    </row>
    <row x14ac:dyDescent="0.25" r="111" customHeight="1" ht="18.75">
      <c r="A111" s="19">
        <f>+LEN(E111)</f>
      </c>
      <c r="B111" s="20" t="s">
        <v>572</v>
      </c>
      <c r="C111" s="21" t="s">
        <v>573</v>
      </c>
      <c r="D111" s="21" t="s">
        <v>137</v>
      </c>
      <c r="E111" s="22" t="s">
        <v>574</v>
      </c>
      <c r="F111" s="23" t="s">
        <v>127</v>
      </c>
      <c r="G111" s="1"/>
      <c r="H111" s="1"/>
      <c r="I111" s="1"/>
      <c r="J111" s="1"/>
      <c r="K111" s="1"/>
      <c r="L111" s="1"/>
      <c r="M111" s="11"/>
      <c r="N111" s="1"/>
      <c r="O111" s="1"/>
      <c r="P111" s="1"/>
      <c r="Q111" s="11"/>
      <c r="R111" s="1"/>
      <c r="S111" s="1"/>
      <c r="T111" s="1"/>
      <c r="U111" s="1"/>
      <c r="V111" s="1"/>
      <c r="W111" s="1"/>
      <c r="X111" s="1"/>
      <c r="Y111" s="1"/>
      <c r="Z111" s="1"/>
      <c r="AA111" s="11"/>
      <c r="AB111" s="11"/>
      <c r="AC111" s="1"/>
      <c r="AD111" s="1"/>
      <c r="AE111" s="11"/>
      <c r="AF111" s="11"/>
      <c r="AG111" s="1"/>
      <c r="AH111" s="11"/>
      <c r="AI111" s="11"/>
      <c r="AJ111" s="1"/>
      <c r="AK111" s="1"/>
      <c r="AL111" s="11"/>
      <c r="AM111" s="11"/>
      <c r="AN111" s="1"/>
      <c r="AO111" s="1"/>
      <c r="AP111" s="1"/>
    </row>
    <row x14ac:dyDescent="0.25" r="112" customHeight="1" ht="18.75">
      <c r="A112" s="19">
        <f>+LEN(E112)</f>
      </c>
      <c r="B112" s="20" t="s">
        <v>575</v>
      </c>
      <c r="C112" s="21" t="s">
        <v>576</v>
      </c>
      <c r="D112" s="21" t="s">
        <v>137</v>
      </c>
      <c r="E112" s="22" t="s">
        <v>577</v>
      </c>
      <c r="F112" s="23" t="s">
        <v>127</v>
      </c>
      <c r="G112" s="1"/>
      <c r="H112" s="1"/>
      <c r="I112" s="1"/>
      <c r="J112" s="1"/>
      <c r="K112" s="1"/>
      <c r="L112" s="1"/>
      <c r="M112" s="11"/>
      <c r="N112" s="1"/>
      <c r="O112" s="1"/>
      <c r="P112" s="1"/>
      <c r="Q112" s="11"/>
      <c r="R112" s="1"/>
      <c r="S112" s="1"/>
      <c r="T112" s="1"/>
      <c r="U112" s="1"/>
      <c r="V112" s="1"/>
      <c r="W112" s="1"/>
      <c r="X112" s="1"/>
      <c r="Y112" s="1"/>
      <c r="Z112" s="1"/>
      <c r="AA112" s="11"/>
      <c r="AB112" s="11"/>
      <c r="AC112" s="1"/>
      <c r="AD112" s="1"/>
      <c r="AE112" s="11"/>
      <c r="AF112" s="11"/>
      <c r="AG112" s="1"/>
      <c r="AH112" s="11"/>
      <c r="AI112" s="11"/>
      <c r="AJ112" s="1"/>
      <c r="AK112" s="1"/>
      <c r="AL112" s="11"/>
      <c r="AM112" s="11"/>
      <c r="AN112" s="1"/>
      <c r="AO112" s="1"/>
      <c r="AP112" s="1"/>
    </row>
    <row x14ac:dyDescent="0.25" r="113" customHeight="1" ht="18.75">
      <c r="A113" s="19">
        <f>+LEN(E113)</f>
      </c>
      <c r="B113" s="20" t="s">
        <v>578</v>
      </c>
      <c r="C113" s="21" t="s">
        <v>579</v>
      </c>
      <c r="D113" s="21" t="s">
        <v>165</v>
      </c>
      <c r="E113" s="22" t="s">
        <v>580</v>
      </c>
      <c r="F113" s="23" t="s">
        <v>127</v>
      </c>
      <c r="G113" s="1"/>
      <c r="H113" s="1"/>
      <c r="I113" s="1"/>
      <c r="J113" s="1"/>
      <c r="K113" s="1"/>
      <c r="L113" s="1"/>
      <c r="M113" s="11"/>
      <c r="N113" s="1"/>
      <c r="O113" s="1"/>
      <c r="P113" s="1"/>
      <c r="Q113" s="11"/>
      <c r="R113" s="1"/>
      <c r="S113" s="1"/>
      <c r="T113" s="1"/>
      <c r="U113" s="1"/>
      <c r="V113" s="1"/>
      <c r="W113" s="1"/>
      <c r="X113" s="1"/>
      <c r="Y113" s="1"/>
      <c r="Z113" s="1"/>
      <c r="AA113" s="11"/>
      <c r="AB113" s="11"/>
      <c r="AC113" s="1"/>
      <c r="AD113" s="1"/>
      <c r="AE113" s="11"/>
      <c r="AF113" s="11"/>
      <c r="AG113" s="1"/>
      <c r="AH113" s="11"/>
      <c r="AI113" s="11"/>
      <c r="AJ113" s="1"/>
      <c r="AK113" s="1"/>
      <c r="AL113" s="11"/>
      <c r="AM113" s="11"/>
      <c r="AN113" s="1"/>
      <c r="AO113" s="1"/>
      <c r="AP113" s="1"/>
    </row>
    <row x14ac:dyDescent="0.25" r="114" customHeight="1" ht="18.75">
      <c r="A114" s="19">
        <f>+LEN(E114)</f>
      </c>
      <c r="B114" s="57" t="s">
        <v>581</v>
      </c>
      <c r="C114" s="58" t="s">
        <v>582</v>
      </c>
      <c r="D114" s="58" t="s">
        <v>165</v>
      </c>
      <c r="E114" s="59" t="s">
        <v>583</v>
      </c>
      <c r="F114" s="60" t="s">
        <v>127</v>
      </c>
      <c r="G114" s="1"/>
      <c r="H114" s="1"/>
      <c r="I114" s="1"/>
      <c r="J114" s="1"/>
      <c r="K114" s="1"/>
      <c r="L114" s="1"/>
      <c r="M114" s="11"/>
      <c r="N114" s="1"/>
      <c r="O114" s="1"/>
      <c r="P114" s="1"/>
      <c r="Q114" s="11"/>
      <c r="R114" s="1"/>
      <c r="S114" s="1"/>
      <c r="T114" s="1"/>
      <c r="U114" s="1"/>
      <c r="V114" s="1"/>
      <c r="W114" s="1"/>
      <c r="X114" s="1"/>
      <c r="Y114" s="1"/>
      <c r="Z114" s="1"/>
      <c r="AA114" s="11"/>
      <c r="AB114" s="11"/>
      <c r="AC114" s="1"/>
      <c r="AD114" s="1"/>
      <c r="AE114" s="11"/>
      <c r="AF114" s="11"/>
      <c r="AG114" s="1"/>
      <c r="AH114" s="11"/>
      <c r="AI114" s="11"/>
      <c r="AJ114" s="1"/>
      <c r="AK114" s="1"/>
      <c r="AL114" s="11"/>
      <c r="AM114" s="11"/>
      <c r="AN114" s="1"/>
      <c r="AO114" s="1"/>
      <c r="AP114" s="1"/>
    </row>
    <row x14ac:dyDescent="0.25" r="115" customHeight="1" ht="18.75">
      <c r="A115" s="19">
        <f>+LEN(E115)</f>
      </c>
      <c r="B115" s="57" t="s">
        <v>584</v>
      </c>
      <c r="C115" s="58" t="s">
        <v>585</v>
      </c>
      <c r="D115" s="58" t="s">
        <v>137</v>
      </c>
      <c r="E115" s="59" t="s">
        <v>586</v>
      </c>
      <c r="F115" s="60" t="s">
        <v>127</v>
      </c>
      <c r="G115" s="1"/>
      <c r="H115" s="1"/>
      <c r="I115" s="1"/>
      <c r="J115" s="1"/>
      <c r="K115" s="1"/>
      <c r="L115" s="1"/>
      <c r="M115" s="11"/>
      <c r="N115" s="1"/>
      <c r="O115" s="1"/>
      <c r="P115" s="1"/>
      <c r="Q115" s="11"/>
      <c r="R115" s="1"/>
      <c r="S115" s="1"/>
      <c r="T115" s="1"/>
      <c r="U115" s="1"/>
      <c r="V115" s="1"/>
      <c r="W115" s="1"/>
      <c r="X115" s="1"/>
      <c r="Y115" s="1"/>
      <c r="Z115" s="1"/>
      <c r="AA115" s="11"/>
      <c r="AB115" s="11"/>
      <c r="AC115" s="1"/>
      <c r="AD115" s="1"/>
      <c r="AE115" s="11"/>
      <c r="AF115" s="11"/>
      <c r="AG115" s="1"/>
      <c r="AH115" s="11"/>
      <c r="AI115" s="11"/>
      <c r="AJ115" s="1"/>
      <c r="AK115" s="1"/>
      <c r="AL115" s="11"/>
      <c r="AM115" s="11"/>
      <c r="AN115" s="1"/>
      <c r="AO115" s="1"/>
      <c r="AP115" s="1"/>
    </row>
    <row x14ac:dyDescent="0.25" r="116" customHeight="1" ht="18.75">
      <c r="A116" s="19">
        <f>+LEN(E116)</f>
      </c>
      <c r="B116" s="57" t="s">
        <v>587</v>
      </c>
      <c r="C116" s="58" t="s">
        <v>588</v>
      </c>
      <c r="D116" s="58" t="s">
        <v>165</v>
      </c>
      <c r="E116" s="59" t="s">
        <v>589</v>
      </c>
      <c r="F116" s="60" t="s">
        <v>127</v>
      </c>
      <c r="G116" s="1"/>
      <c r="H116" s="1"/>
      <c r="I116" s="1"/>
      <c r="J116" s="1"/>
      <c r="K116" s="1"/>
      <c r="L116" s="1"/>
      <c r="M116" s="11"/>
      <c r="N116" s="1"/>
      <c r="O116" s="1"/>
      <c r="P116" s="1"/>
      <c r="Q116" s="11"/>
      <c r="R116" s="1"/>
      <c r="S116" s="1"/>
      <c r="T116" s="1"/>
      <c r="U116" s="1"/>
      <c r="V116" s="1"/>
      <c r="W116" s="1"/>
      <c r="X116" s="1"/>
      <c r="Y116" s="1"/>
      <c r="Z116" s="1"/>
      <c r="AA116" s="11"/>
      <c r="AB116" s="11"/>
      <c r="AC116" s="1"/>
      <c r="AD116" s="1"/>
      <c r="AE116" s="11"/>
      <c r="AF116" s="11"/>
      <c r="AG116" s="1"/>
      <c r="AH116" s="11"/>
      <c r="AI116" s="11"/>
      <c r="AJ116" s="1"/>
      <c r="AK116" s="1"/>
      <c r="AL116" s="11"/>
      <c r="AM116" s="11"/>
      <c r="AN116" s="1"/>
      <c r="AO116" s="1"/>
      <c r="AP116" s="1"/>
    </row>
    <row x14ac:dyDescent="0.25" r="117" customHeight="1" ht="18.75">
      <c r="A117" s="19">
        <f>+LEN(E117)</f>
      </c>
      <c r="B117" s="57" t="s">
        <v>590</v>
      </c>
      <c r="C117" s="58" t="s">
        <v>591</v>
      </c>
      <c r="D117" s="58" t="s">
        <v>165</v>
      </c>
      <c r="E117" s="59" t="s">
        <v>592</v>
      </c>
      <c r="F117" s="60" t="s">
        <v>127</v>
      </c>
      <c r="G117" s="1"/>
      <c r="H117" s="1"/>
      <c r="I117" s="1"/>
      <c r="J117" s="1"/>
      <c r="K117" s="1"/>
      <c r="L117" s="1"/>
      <c r="M117" s="11"/>
      <c r="N117" s="1"/>
      <c r="O117" s="1"/>
      <c r="P117" s="1"/>
      <c r="Q117" s="11"/>
      <c r="R117" s="1"/>
      <c r="S117" s="1"/>
      <c r="T117" s="1"/>
      <c r="U117" s="1"/>
      <c r="V117" s="1"/>
      <c r="W117" s="1"/>
      <c r="X117" s="1"/>
      <c r="Y117" s="1"/>
      <c r="Z117" s="1"/>
      <c r="AA117" s="11"/>
      <c r="AB117" s="11"/>
      <c r="AC117" s="1"/>
      <c r="AD117" s="1"/>
      <c r="AE117" s="11"/>
      <c r="AF117" s="11"/>
      <c r="AG117" s="1"/>
      <c r="AH117" s="11"/>
      <c r="AI117" s="11"/>
      <c r="AJ117" s="1"/>
      <c r="AK117" s="1"/>
      <c r="AL117" s="11"/>
      <c r="AM117" s="11"/>
      <c r="AN117" s="1"/>
      <c r="AO117" s="1"/>
      <c r="AP117" s="1"/>
    </row>
    <row x14ac:dyDescent="0.25" r="118" customHeight="1" ht="18.75">
      <c r="A118" s="19">
        <f>+LEN(E118)</f>
      </c>
      <c r="B118" s="57" t="s">
        <v>157</v>
      </c>
      <c r="C118" s="58" t="s">
        <v>158</v>
      </c>
      <c r="D118" s="58" t="s">
        <v>137</v>
      </c>
      <c r="E118" s="59" t="s">
        <v>159</v>
      </c>
      <c r="F118" s="60" t="s">
        <v>127</v>
      </c>
      <c r="G118" s="1"/>
      <c r="H118" s="1"/>
      <c r="I118" s="1"/>
      <c r="J118" s="1"/>
      <c r="K118" s="1"/>
      <c r="L118" s="1"/>
      <c r="M118" s="11"/>
      <c r="N118" s="1"/>
      <c r="O118" s="1"/>
      <c r="P118" s="1"/>
      <c r="Q118" s="11"/>
      <c r="R118" s="1"/>
      <c r="S118" s="1"/>
      <c r="T118" s="1"/>
      <c r="U118" s="1"/>
      <c r="V118" s="1"/>
      <c r="W118" s="1"/>
      <c r="X118" s="1"/>
      <c r="Y118" s="1"/>
      <c r="Z118" s="1"/>
      <c r="AA118" s="11"/>
      <c r="AB118" s="11"/>
      <c r="AC118" s="1"/>
      <c r="AD118" s="1"/>
      <c r="AE118" s="11"/>
      <c r="AF118" s="11"/>
      <c r="AG118" s="1"/>
      <c r="AH118" s="11"/>
      <c r="AI118" s="11"/>
      <c r="AJ118" s="1"/>
      <c r="AK118" s="1"/>
      <c r="AL118" s="11"/>
      <c r="AM118" s="11"/>
      <c r="AN118" s="1"/>
      <c r="AO118" s="1"/>
      <c r="AP118" s="1"/>
    </row>
    <row x14ac:dyDescent="0.25" r="119" customHeight="1" ht="18.75">
      <c r="A119" s="19">
        <f>+LEN(E119)</f>
      </c>
      <c r="B119" s="57" t="s">
        <v>593</v>
      </c>
      <c r="C119" s="58" t="s">
        <v>594</v>
      </c>
      <c r="D119" s="58" t="s">
        <v>137</v>
      </c>
      <c r="E119" s="59" t="s">
        <v>595</v>
      </c>
      <c r="F119" s="60" t="s">
        <v>127</v>
      </c>
      <c r="G119" s="1"/>
      <c r="H119" s="1"/>
      <c r="I119" s="1"/>
      <c r="J119" s="1"/>
      <c r="K119" s="1"/>
      <c r="L119" s="1"/>
      <c r="M119" s="11"/>
      <c r="N119" s="1"/>
      <c r="O119" s="1"/>
      <c r="P119" s="1"/>
      <c r="Q119" s="11"/>
      <c r="R119" s="1"/>
      <c r="S119" s="1"/>
      <c r="T119" s="1"/>
      <c r="U119" s="1"/>
      <c r="V119" s="1"/>
      <c r="W119" s="1"/>
      <c r="X119" s="1"/>
      <c r="Y119" s="1"/>
      <c r="Z119" s="1"/>
      <c r="AA119" s="11"/>
      <c r="AB119" s="11"/>
      <c r="AC119" s="1"/>
      <c r="AD119" s="1"/>
      <c r="AE119" s="11"/>
      <c r="AF119" s="11"/>
      <c r="AG119" s="1"/>
      <c r="AH119" s="11"/>
      <c r="AI119" s="11"/>
      <c r="AJ119" s="1"/>
      <c r="AK119" s="1"/>
      <c r="AL119" s="11"/>
      <c r="AM119" s="11"/>
      <c r="AN119" s="1"/>
      <c r="AO119" s="1"/>
      <c r="AP119" s="1"/>
    </row>
    <row x14ac:dyDescent="0.25" r="120" customHeight="1" ht="18.75">
      <c r="A120" s="19">
        <f>+LEN(E120)</f>
      </c>
      <c r="B120" s="57" t="s">
        <v>596</v>
      </c>
      <c r="C120" s="58" t="s">
        <v>597</v>
      </c>
      <c r="D120" s="58" t="s">
        <v>137</v>
      </c>
      <c r="E120" s="59" t="s">
        <v>598</v>
      </c>
      <c r="F120" s="60" t="s">
        <v>127</v>
      </c>
      <c r="G120" s="1"/>
      <c r="H120" s="1"/>
      <c r="I120" s="1"/>
      <c r="J120" s="1"/>
      <c r="K120" s="1"/>
      <c r="L120" s="1"/>
      <c r="M120" s="11"/>
      <c r="N120" s="1"/>
      <c r="O120" s="1"/>
      <c r="P120" s="1"/>
      <c r="Q120" s="11"/>
      <c r="R120" s="1"/>
      <c r="S120" s="1"/>
      <c r="T120" s="1"/>
      <c r="U120" s="1"/>
      <c r="V120" s="1"/>
      <c r="W120" s="1"/>
      <c r="X120" s="1"/>
      <c r="Y120" s="1"/>
      <c r="Z120" s="1"/>
      <c r="AA120" s="11"/>
      <c r="AB120" s="11"/>
      <c r="AC120" s="1"/>
      <c r="AD120" s="1"/>
      <c r="AE120" s="11"/>
      <c r="AF120" s="11"/>
      <c r="AG120" s="1"/>
      <c r="AH120" s="11"/>
      <c r="AI120" s="11"/>
      <c r="AJ120" s="1"/>
      <c r="AK120" s="1"/>
      <c r="AL120" s="11"/>
      <c r="AM120" s="11"/>
      <c r="AN120" s="1"/>
      <c r="AO120" s="1"/>
      <c r="AP120" s="1"/>
    </row>
    <row x14ac:dyDescent="0.25" r="121" customHeight="1" ht="18.75">
      <c r="A121" s="19">
        <f>+LEN(E121)</f>
      </c>
      <c r="B121" s="57" t="s">
        <v>599</v>
      </c>
      <c r="C121" s="21" t="s">
        <v>600</v>
      </c>
      <c r="D121" s="21" t="s">
        <v>165</v>
      </c>
      <c r="E121" s="22" t="s">
        <v>601</v>
      </c>
      <c r="F121" s="23" t="s">
        <v>127</v>
      </c>
      <c r="G121" s="1"/>
      <c r="H121" s="1"/>
      <c r="I121" s="1"/>
      <c r="J121" s="1"/>
      <c r="K121" s="1"/>
      <c r="L121" s="1"/>
      <c r="M121" s="11"/>
      <c r="N121" s="1"/>
      <c r="O121" s="1"/>
      <c r="P121" s="1"/>
      <c r="Q121" s="11"/>
      <c r="R121" s="1"/>
      <c r="S121" s="1"/>
      <c r="T121" s="1"/>
      <c r="U121" s="1"/>
      <c r="V121" s="1"/>
      <c r="W121" s="1"/>
      <c r="X121" s="1"/>
      <c r="Y121" s="1"/>
      <c r="Z121" s="1"/>
      <c r="AA121" s="11"/>
      <c r="AB121" s="11"/>
      <c r="AC121" s="1"/>
      <c r="AD121" s="1"/>
      <c r="AE121" s="11"/>
      <c r="AF121" s="11"/>
      <c r="AG121" s="1"/>
      <c r="AH121" s="11"/>
      <c r="AI121" s="11"/>
      <c r="AJ121" s="1"/>
      <c r="AK121" s="1"/>
      <c r="AL121" s="11"/>
      <c r="AM121" s="11"/>
      <c r="AN121" s="1"/>
      <c r="AO121" s="1"/>
      <c r="AP121" s="1"/>
    </row>
    <row x14ac:dyDescent="0.25" r="122" customHeight="1" ht="18.75">
      <c r="A122" s="19">
        <f>+LEN(E122)</f>
      </c>
      <c r="B122" s="57" t="s">
        <v>602</v>
      </c>
      <c r="C122" s="58" t="s">
        <v>603</v>
      </c>
      <c r="D122" s="58" t="s">
        <v>165</v>
      </c>
      <c r="E122" s="59" t="s">
        <v>604</v>
      </c>
      <c r="F122" s="60" t="s">
        <v>127</v>
      </c>
      <c r="G122" s="1"/>
      <c r="H122" s="1"/>
      <c r="I122" s="1"/>
      <c r="J122" s="1"/>
      <c r="K122" s="1"/>
      <c r="L122" s="1"/>
      <c r="M122" s="11"/>
      <c r="N122" s="1"/>
      <c r="O122" s="1"/>
      <c r="P122" s="1"/>
      <c r="Q122" s="11"/>
      <c r="R122" s="1"/>
      <c r="S122" s="1"/>
      <c r="T122" s="1"/>
      <c r="U122" s="1"/>
      <c r="V122" s="1"/>
      <c r="W122" s="1"/>
      <c r="X122" s="1"/>
      <c r="Y122" s="1"/>
      <c r="Z122" s="1"/>
      <c r="AA122" s="11"/>
      <c r="AB122" s="11"/>
      <c r="AC122" s="1"/>
      <c r="AD122" s="1"/>
      <c r="AE122" s="11"/>
      <c r="AF122" s="11"/>
      <c r="AG122" s="1"/>
      <c r="AH122" s="11"/>
      <c r="AI122" s="11"/>
      <c r="AJ122" s="1"/>
      <c r="AK122" s="1"/>
      <c r="AL122" s="11"/>
      <c r="AM122" s="11"/>
      <c r="AN122" s="1"/>
      <c r="AO122" s="1"/>
      <c r="AP122" s="1"/>
    </row>
    <row x14ac:dyDescent="0.25" r="123" customHeight="1" ht="18.75">
      <c r="A123" s="19">
        <f>+LEN(E123)</f>
      </c>
      <c r="B123" s="57" t="s">
        <v>605</v>
      </c>
      <c r="C123" s="58" t="s">
        <v>606</v>
      </c>
      <c r="D123" s="58" t="s">
        <v>165</v>
      </c>
      <c r="E123" s="59" t="s">
        <v>607</v>
      </c>
      <c r="F123" s="60" t="s">
        <v>127</v>
      </c>
      <c r="G123" s="1"/>
      <c r="H123" s="1"/>
      <c r="I123" s="1"/>
      <c r="J123" s="1"/>
      <c r="K123" s="1"/>
      <c r="L123" s="1"/>
      <c r="M123" s="11"/>
      <c r="N123" s="1"/>
      <c r="O123" s="1"/>
      <c r="P123" s="1"/>
      <c r="Q123" s="11"/>
      <c r="R123" s="1"/>
      <c r="S123" s="1"/>
      <c r="T123" s="1"/>
      <c r="U123" s="1"/>
      <c r="V123" s="1"/>
      <c r="W123" s="1"/>
      <c r="X123" s="1"/>
      <c r="Y123" s="1"/>
      <c r="Z123" s="1"/>
      <c r="AA123" s="11"/>
      <c r="AB123" s="11"/>
      <c r="AC123" s="1"/>
      <c r="AD123" s="1"/>
      <c r="AE123" s="11"/>
      <c r="AF123" s="11"/>
      <c r="AG123" s="1"/>
      <c r="AH123" s="11"/>
      <c r="AI123" s="11"/>
      <c r="AJ123" s="1"/>
      <c r="AK123" s="1"/>
      <c r="AL123" s="11"/>
      <c r="AM123" s="11"/>
      <c r="AN123" s="1"/>
      <c r="AO123" s="1"/>
      <c r="AP123" s="1"/>
    </row>
    <row x14ac:dyDescent="0.25" r="124" customHeight="1" ht="18.75">
      <c r="A124" s="19">
        <f>+LEN(E124)</f>
      </c>
      <c r="B124" s="57" t="s">
        <v>608</v>
      </c>
      <c r="C124" s="58" t="s">
        <v>609</v>
      </c>
      <c r="D124" s="58" t="s">
        <v>137</v>
      </c>
      <c r="E124" s="59" t="s">
        <v>610</v>
      </c>
      <c r="F124" s="60" t="s">
        <v>127</v>
      </c>
      <c r="G124" s="1"/>
      <c r="H124" s="1"/>
      <c r="I124" s="1"/>
      <c r="J124" s="1"/>
      <c r="K124" s="1"/>
      <c r="L124" s="1"/>
      <c r="M124" s="11"/>
      <c r="N124" s="1"/>
      <c r="O124" s="1"/>
      <c r="P124" s="1"/>
      <c r="Q124" s="11"/>
      <c r="R124" s="1"/>
      <c r="S124" s="1"/>
      <c r="T124" s="1"/>
      <c r="U124" s="1"/>
      <c r="V124" s="1"/>
      <c r="W124" s="1"/>
      <c r="X124" s="1"/>
      <c r="Y124" s="1"/>
      <c r="Z124" s="1"/>
      <c r="AA124" s="11"/>
      <c r="AB124" s="11"/>
      <c r="AC124" s="1"/>
      <c r="AD124" s="1"/>
      <c r="AE124" s="11"/>
      <c r="AF124" s="11"/>
      <c r="AG124" s="1"/>
      <c r="AH124" s="11"/>
      <c r="AI124" s="11"/>
      <c r="AJ124" s="1"/>
      <c r="AK124" s="1"/>
      <c r="AL124" s="11"/>
      <c r="AM124" s="11"/>
      <c r="AN124" s="1"/>
      <c r="AO124" s="1"/>
      <c r="AP124" s="1"/>
    </row>
    <row x14ac:dyDescent="0.25" r="125" customHeight="1" ht="18.75">
      <c r="A125" s="19">
        <f>+LEN(E125)</f>
      </c>
      <c r="B125" s="57" t="s">
        <v>611</v>
      </c>
      <c r="C125" s="58" t="s">
        <v>612</v>
      </c>
      <c r="D125" s="58" t="s">
        <v>165</v>
      </c>
      <c r="E125" s="59" t="s">
        <v>613</v>
      </c>
      <c r="F125" s="60" t="s">
        <v>127</v>
      </c>
      <c r="G125" s="1"/>
      <c r="H125" s="1"/>
      <c r="I125" s="1"/>
      <c r="J125" s="1"/>
      <c r="K125" s="1"/>
      <c r="L125" s="1"/>
      <c r="M125" s="11"/>
      <c r="N125" s="1"/>
      <c r="O125" s="1"/>
      <c r="P125" s="1"/>
      <c r="Q125" s="11"/>
      <c r="R125" s="1"/>
      <c r="S125" s="1"/>
      <c r="T125" s="1"/>
      <c r="U125" s="1"/>
      <c r="V125" s="1"/>
      <c r="W125" s="1"/>
      <c r="X125" s="1"/>
      <c r="Y125" s="1"/>
      <c r="Z125" s="1"/>
      <c r="AA125" s="11"/>
      <c r="AB125" s="11"/>
      <c r="AC125" s="1"/>
      <c r="AD125" s="1"/>
      <c r="AE125" s="11"/>
      <c r="AF125" s="11"/>
      <c r="AG125" s="1"/>
      <c r="AH125" s="11"/>
      <c r="AI125" s="11"/>
      <c r="AJ125" s="1"/>
      <c r="AK125" s="1"/>
      <c r="AL125" s="11"/>
      <c r="AM125" s="11"/>
      <c r="AN125" s="1"/>
      <c r="AO125" s="1"/>
      <c r="AP125" s="1"/>
    </row>
    <row x14ac:dyDescent="0.25" r="126" customHeight="1" ht="18.75">
      <c r="A126" s="19">
        <f>+LEN(E126)</f>
      </c>
      <c r="B126" s="20" t="s">
        <v>614</v>
      </c>
      <c r="C126" s="21" t="s">
        <v>615</v>
      </c>
      <c r="D126" s="21" t="s">
        <v>165</v>
      </c>
      <c r="E126" s="22" t="s">
        <v>616</v>
      </c>
      <c r="F126" s="23" t="s">
        <v>127</v>
      </c>
      <c r="G126" s="1"/>
      <c r="H126" s="1"/>
      <c r="I126" s="1"/>
      <c r="J126" s="1"/>
      <c r="K126" s="1"/>
      <c r="L126" s="1"/>
      <c r="M126" s="11"/>
      <c r="N126" s="1"/>
      <c r="O126" s="1"/>
      <c r="P126" s="1"/>
      <c r="Q126" s="11"/>
      <c r="R126" s="1"/>
      <c r="S126" s="1"/>
      <c r="T126" s="1"/>
      <c r="U126" s="1"/>
      <c r="V126" s="1"/>
      <c r="W126" s="1"/>
      <c r="X126" s="1"/>
      <c r="Y126" s="1"/>
      <c r="Z126" s="1"/>
      <c r="AA126" s="11"/>
      <c r="AB126" s="11"/>
      <c r="AC126" s="1"/>
      <c r="AD126" s="1"/>
      <c r="AE126" s="11"/>
      <c r="AF126" s="11"/>
      <c r="AG126" s="1"/>
      <c r="AH126" s="11"/>
      <c r="AI126" s="11"/>
      <c r="AJ126" s="1"/>
      <c r="AK126" s="1"/>
      <c r="AL126" s="11"/>
      <c r="AM126" s="11"/>
      <c r="AN126" s="1"/>
      <c r="AO126" s="1"/>
      <c r="AP126" s="1"/>
    </row>
    <row x14ac:dyDescent="0.25" r="127" customHeight="1" ht="18.75">
      <c r="A127" s="19">
        <f>+LEN(E127)</f>
      </c>
      <c r="B127" s="20" t="s">
        <v>617</v>
      </c>
      <c r="C127" s="21" t="s">
        <v>618</v>
      </c>
      <c r="D127" s="21" t="s">
        <v>165</v>
      </c>
      <c r="E127" s="22" t="s">
        <v>619</v>
      </c>
      <c r="F127" s="23" t="s">
        <v>127</v>
      </c>
      <c r="G127" s="1"/>
      <c r="H127" s="1"/>
      <c r="I127" s="1"/>
      <c r="J127" s="1"/>
      <c r="K127" s="1"/>
      <c r="L127" s="1"/>
      <c r="M127" s="11"/>
      <c r="N127" s="1"/>
      <c r="O127" s="1"/>
      <c r="P127" s="1"/>
      <c r="Q127" s="11"/>
      <c r="R127" s="1"/>
      <c r="S127" s="1"/>
      <c r="T127" s="1"/>
      <c r="U127" s="1"/>
      <c r="V127" s="1"/>
      <c r="W127" s="1"/>
      <c r="X127" s="1"/>
      <c r="Y127" s="1"/>
      <c r="Z127" s="1"/>
      <c r="AA127" s="11"/>
      <c r="AB127" s="11"/>
      <c r="AC127" s="1"/>
      <c r="AD127" s="1"/>
      <c r="AE127" s="11"/>
      <c r="AF127" s="11"/>
      <c r="AG127" s="1"/>
      <c r="AH127" s="11"/>
      <c r="AI127" s="11"/>
      <c r="AJ127" s="1"/>
      <c r="AK127" s="1"/>
      <c r="AL127" s="11"/>
      <c r="AM127" s="11"/>
      <c r="AN127" s="1"/>
      <c r="AO127" s="1"/>
      <c r="AP127" s="1"/>
    </row>
    <row x14ac:dyDescent="0.25" r="128" customHeight="1" ht="18.75">
      <c r="A128" s="19">
        <f>+LEN(E128)</f>
      </c>
      <c r="B128" s="20" t="s">
        <v>620</v>
      </c>
      <c r="C128" s="21" t="s">
        <v>621</v>
      </c>
      <c r="D128" s="21" t="s">
        <v>137</v>
      </c>
      <c r="E128" s="22" t="s">
        <v>622</v>
      </c>
      <c r="F128" s="23" t="s">
        <v>127</v>
      </c>
      <c r="G128" s="1"/>
      <c r="H128" s="1"/>
      <c r="I128" s="1"/>
      <c r="J128" s="1"/>
      <c r="K128" s="1"/>
      <c r="L128" s="1"/>
      <c r="M128" s="11"/>
      <c r="N128" s="1"/>
      <c r="O128" s="1"/>
      <c r="P128" s="1"/>
      <c r="Q128" s="11"/>
      <c r="R128" s="1"/>
      <c r="S128" s="1"/>
      <c r="T128" s="1"/>
      <c r="U128" s="1"/>
      <c r="V128" s="1"/>
      <c r="W128" s="1"/>
      <c r="X128" s="1"/>
      <c r="Y128" s="1"/>
      <c r="Z128" s="1"/>
      <c r="AA128" s="11"/>
      <c r="AB128" s="11"/>
      <c r="AC128" s="1"/>
      <c r="AD128" s="1"/>
      <c r="AE128" s="11"/>
      <c r="AF128" s="11"/>
      <c r="AG128" s="1"/>
      <c r="AH128" s="11"/>
      <c r="AI128" s="11"/>
      <c r="AJ128" s="1"/>
      <c r="AK128" s="1"/>
      <c r="AL128" s="11"/>
      <c r="AM128" s="11"/>
      <c r="AN128" s="1"/>
      <c r="AO128" s="1"/>
      <c r="AP128" s="1"/>
    </row>
    <row x14ac:dyDescent="0.25" r="129" customHeight="1" ht="18.75">
      <c r="A129" s="19">
        <f>+LEN(E129)</f>
      </c>
      <c r="B129" s="20" t="s">
        <v>623</v>
      </c>
      <c r="C129" s="21" t="s">
        <v>624</v>
      </c>
      <c r="D129" s="21" t="s">
        <v>165</v>
      </c>
      <c r="E129" s="22" t="s">
        <v>625</v>
      </c>
      <c r="F129" s="23" t="s">
        <v>127</v>
      </c>
      <c r="G129" s="1"/>
      <c r="H129" s="1"/>
      <c r="I129" s="1"/>
      <c r="J129" s="1"/>
      <c r="K129" s="1"/>
      <c r="L129" s="1"/>
      <c r="M129" s="11"/>
      <c r="N129" s="1"/>
      <c r="O129" s="1"/>
      <c r="P129" s="1"/>
      <c r="Q129" s="11"/>
      <c r="R129" s="1"/>
      <c r="S129" s="1"/>
      <c r="T129" s="1"/>
      <c r="U129" s="1"/>
      <c r="V129" s="1"/>
      <c r="W129" s="1"/>
      <c r="X129" s="1"/>
      <c r="Y129" s="1"/>
      <c r="Z129" s="1"/>
      <c r="AA129" s="11"/>
      <c r="AB129" s="11"/>
      <c r="AC129" s="1"/>
      <c r="AD129" s="1"/>
      <c r="AE129" s="11"/>
      <c r="AF129" s="11"/>
      <c r="AG129" s="1"/>
      <c r="AH129" s="11"/>
      <c r="AI129" s="11"/>
      <c r="AJ129" s="1"/>
      <c r="AK129" s="1"/>
      <c r="AL129" s="11"/>
      <c r="AM129" s="11"/>
      <c r="AN129" s="1"/>
      <c r="AO129" s="1"/>
      <c r="AP129" s="1"/>
    </row>
    <row x14ac:dyDescent="0.25" r="130" customHeight="1" ht="18.75">
      <c r="A130" s="19">
        <f>+LEN(E130)</f>
      </c>
      <c r="B130" s="20" t="s">
        <v>626</v>
      </c>
      <c r="C130" s="21" t="s">
        <v>627</v>
      </c>
      <c r="D130" s="21" t="s">
        <v>165</v>
      </c>
      <c r="E130" s="22" t="s">
        <v>628</v>
      </c>
      <c r="F130" s="23" t="s">
        <v>127</v>
      </c>
      <c r="G130" s="1"/>
      <c r="H130" s="1"/>
      <c r="I130" s="1"/>
      <c r="J130" s="1"/>
      <c r="K130" s="1"/>
      <c r="L130" s="1"/>
      <c r="M130" s="11"/>
      <c r="N130" s="1"/>
      <c r="O130" s="1"/>
      <c r="P130" s="1"/>
      <c r="Q130" s="11"/>
      <c r="R130" s="1"/>
      <c r="S130" s="1"/>
      <c r="T130" s="1"/>
      <c r="U130" s="1"/>
      <c r="V130" s="1"/>
      <c r="W130" s="1"/>
      <c r="X130" s="1"/>
      <c r="Y130" s="1"/>
      <c r="Z130" s="1"/>
      <c r="AA130" s="11"/>
      <c r="AB130" s="11"/>
      <c r="AC130" s="1"/>
      <c r="AD130" s="1"/>
      <c r="AE130" s="11"/>
      <c r="AF130" s="11"/>
      <c r="AG130" s="1"/>
      <c r="AH130" s="11"/>
      <c r="AI130" s="11"/>
      <c r="AJ130" s="1"/>
      <c r="AK130" s="1"/>
      <c r="AL130" s="11"/>
      <c r="AM130" s="11"/>
      <c r="AN130" s="1"/>
      <c r="AO130" s="1"/>
      <c r="AP130" s="1"/>
    </row>
    <row x14ac:dyDescent="0.25" r="131" customHeight="1" ht="18.75">
      <c r="A131" s="19">
        <f>+LEN(E131)</f>
      </c>
      <c r="B131" s="20" t="s">
        <v>629</v>
      </c>
      <c r="C131" s="21" t="s">
        <v>630</v>
      </c>
      <c r="D131" s="21" t="s">
        <v>137</v>
      </c>
      <c r="E131" s="22" t="s">
        <v>631</v>
      </c>
      <c r="F131" s="23" t="s">
        <v>127</v>
      </c>
      <c r="G131" s="1"/>
      <c r="H131" s="1"/>
      <c r="I131" s="1"/>
      <c r="J131" s="1"/>
      <c r="K131" s="1"/>
      <c r="L131" s="1"/>
      <c r="M131" s="11"/>
      <c r="N131" s="1"/>
      <c r="O131" s="1"/>
      <c r="P131" s="1"/>
      <c r="Q131" s="11"/>
      <c r="R131" s="1"/>
      <c r="S131" s="1"/>
      <c r="T131" s="1"/>
      <c r="U131" s="1"/>
      <c r="V131" s="1"/>
      <c r="W131" s="1"/>
      <c r="X131" s="1"/>
      <c r="Y131" s="1"/>
      <c r="Z131" s="1"/>
      <c r="AA131" s="11"/>
      <c r="AB131" s="11"/>
      <c r="AC131" s="1"/>
      <c r="AD131" s="1"/>
      <c r="AE131" s="11"/>
      <c r="AF131" s="11"/>
      <c r="AG131" s="1"/>
      <c r="AH131" s="11"/>
      <c r="AI131" s="11"/>
      <c r="AJ131" s="1"/>
      <c r="AK131" s="1"/>
      <c r="AL131" s="11"/>
      <c r="AM131" s="11"/>
      <c r="AN131" s="1"/>
      <c r="AO131" s="1"/>
      <c r="AP131" s="1"/>
    </row>
    <row x14ac:dyDescent="0.25" r="132" customHeight="1" ht="18.75">
      <c r="A132" s="19">
        <f>+LEN(E132)</f>
      </c>
      <c r="B132" s="20" t="s">
        <v>632</v>
      </c>
      <c r="C132" s="21" t="s">
        <v>633</v>
      </c>
      <c r="D132" s="21" t="s">
        <v>165</v>
      </c>
      <c r="E132" s="22" t="s">
        <v>634</v>
      </c>
      <c r="F132" s="23" t="s">
        <v>127</v>
      </c>
      <c r="G132" s="1"/>
      <c r="H132" s="1"/>
      <c r="I132" s="1"/>
      <c r="J132" s="1"/>
      <c r="K132" s="1"/>
      <c r="L132" s="1"/>
      <c r="M132" s="11"/>
      <c r="N132" s="1"/>
      <c r="O132" s="1"/>
      <c r="P132" s="1"/>
      <c r="Q132" s="11"/>
      <c r="R132" s="1"/>
      <c r="S132" s="1"/>
      <c r="T132" s="1"/>
      <c r="U132" s="1"/>
      <c r="V132" s="1"/>
      <c r="W132" s="1"/>
      <c r="X132" s="1"/>
      <c r="Y132" s="1"/>
      <c r="Z132" s="1"/>
      <c r="AA132" s="11"/>
      <c r="AB132" s="11"/>
      <c r="AC132" s="1"/>
      <c r="AD132" s="1"/>
      <c r="AE132" s="11"/>
      <c r="AF132" s="11"/>
      <c r="AG132" s="1"/>
      <c r="AH132" s="11"/>
      <c r="AI132" s="11"/>
      <c r="AJ132" s="1"/>
      <c r="AK132" s="1"/>
      <c r="AL132" s="11"/>
      <c r="AM132" s="11"/>
      <c r="AN132" s="1"/>
      <c r="AO132" s="1"/>
      <c r="AP132" s="1"/>
    </row>
    <row x14ac:dyDescent="0.25" r="133" customHeight="1" ht="18.75">
      <c r="A133" s="19">
        <f>+LEN(E133)</f>
      </c>
      <c r="B133" s="20" t="s">
        <v>635</v>
      </c>
      <c r="C133" s="61" t="s">
        <v>636</v>
      </c>
      <c r="D133" s="21" t="s">
        <v>137</v>
      </c>
      <c r="E133" s="62" t="s">
        <v>637</v>
      </c>
      <c r="F133" s="23" t="s">
        <v>127</v>
      </c>
      <c r="G133" s="1"/>
      <c r="H133" s="1"/>
      <c r="I133" s="1"/>
      <c r="J133" s="1"/>
      <c r="K133" s="1"/>
      <c r="L133" s="1"/>
      <c r="M133" s="11"/>
      <c r="N133" s="1"/>
      <c r="O133" s="1"/>
      <c r="P133" s="1"/>
      <c r="Q133" s="11"/>
      <c r="R133" s="1"/>
      <c r="S133" s="1"/>
      <c r="T133" s="1"/>
      <c r="U133" s="1"/>
      <c r="V133" s="1"/>
      <c r="W133" s="1"/>
      <c r="X133" s="1"/>
      <c r="Y133" s="1"/>
      <c r="Z133" s="1"/>
      <c r="AA133" s="11"/>
      <c r="AB133" s="11"/>
      <c r="AC133" s="1"/>
      <c r="AD133" s="1"/>
      <c r="AE133" s="11"/>
      <c r="AF133" s="11"/>
      <c r="AG133" s="1"/>
      <c r="AH133" s="11"/>
      <c r="AI133" s="11"/>
      <c r="AJ133" s="1"/>
      <c r="AK133" s="1"/>
      <c r="AL133" s="11"/>
      <c r="AM133" s="11"/>
      <c r="AN133" s="1"/>
      <c r="AO133" s="1"/>
      <c r="AP133" s="1"/>
    </row>
    <row x14ac:dyDescent="0.25" r="134" customHeight="1" ht="18.75">
      <c r="A134" s="19">
        <f>+LEN(E134)</f>
      </c>
      <c r="B134" s="20" t="s">
        <v>638</v>
      </c>
      <c r="C134" s="21" t="s">
        <v>639</v>
      </c>
      <c r="D134" s="21" t="s">
        <v>165</v>
      </c>
      <c r="E134" s="22" t="s">
        <v>640</v>
      </c>
      <c r="F134" s="23" t="s">
        <v>127</v>
      </c>
      <c r="G134" s="1"/>
      <c r="H134" s="1"/>
      <c r="I134" s="1"/>
      <c r="J134" s="1"/>
      <c r="K134" s="1"/>
      <c r="L134" s="1"/>
      <c r="M134" s="11"/>
      <c r="N134" s="1"/>
      <c r="O134" s="1"/>
      <c r="P134" s="1"/>
      <c r="Q134" s="11"/>
      <c r="R134" s="1"/>
      <c r="S134" s="1"/>
      <c r="T134" s="1"/>
      <c r="U134" s="1"/>
      <c r="V134" s="1"/>
      <c r="W134" s="1"/>
      <c r="X134" s="1"/>
      <c r="Y134" s="1"/>
      <c r="Z134" s="1"/>
      <c r="AA134" s="11"/>
      <c r="AB134" s="11"/>
      <c r="AC134" s="1"/>
      <c r="AD134" s="1"/>
      <c r="AE134" s="11"/>
      <c r="AF134" s="11"/>
      <c r="AG134" s="1"/>
      <c r="AH134" s="11"/>
      <c r="AI134" s="11"/>
      <c r="AJ134" s="1"/>
      <c r="AK134" s="1"/>
      <c r="AL134" s="11"/>
      <c r="AM134" s="11"/>
      <c r="AN134" s="1"/>
      <c r="AO134" s="1"/>
      <c r="AP134" s="1"/>
    </row>
    <row x14ac:dyDescent="0.25" r="135" customHeight="1" ht="18.75">
      <c r="A135" s="19">
        <f>+LEN(E135)</f>
      </c>
      <c r="B135" s="20" t="s">
        <v>641</v>
      </c>
      <c r="C135" s="21" t="s">
        <v>642</v>
      </c>
      <c r="D135" s="21" t="s">
        <v>165</v>
      </c>
      <c r="E135" s="22" t="s">
        <v>643</v>
      </c>
      <c r="F135" s="23" t="s">
        <v>127</v>
      </c>
      <c r="G135" s="1"/>
      <c r="H135" s="1"/>
      <c r="I135" s="1"/>
      <c r="J135" s="1"/>
      <c r="K135" s="1"/>
      <c r="L135" s="1"/>
      <c r="M135" s="11"/>
      <c r="N135" s="1"/>
      <c r="O135" s="1"/>
      <c r="P135" s="1"/>
      <c r="Q135" s="11"/>
      <c r="R135" s="1"/>
      <c r="S135" s="1"/>
      <c r="T135" s="1"/>
      <c r="U135" s="1"/>
      <c r="V135" s="1"/>
      <c r="W135" s="1"/>
      <c r="X135" s="1"/>
      <c r="Y135" s="1"/>
      <c r="Z135" s="1"/>
      <c r="AA135" s="11"/>
      <c r="AB135" s="11"/>
      <c r="AC135" s="1"/>
      <c r="AD135" s="1"/>
      <c r="AE135" s="11"/>
      <c r="AF135" s="11"/>
      <c r="AG135" s="1"/>
      <c r="AH135" s="11"/>
      <c r="AI135" s="11"/>
      <c r="AJ135" s="1"/>
      <c r="AK135" s="1"/>
      <c r="AL135" s="11"/>
      <c r="AM135" s="11"/>
      <c r="AN135" s="1"/>
      <c r="AO135" s="1"/>
      <c r="AP135" s="1"/>
    </row>
    <row x14ac:dyDescent="0.25" r="136" customHeight="1" ht="18.75">
      <c r="A136" s="19">
        <f>+LEN(E136)</f>
      </c>
      <c r="B136" s="20" t="s">
        <v>644</v>
      </c>
      <c r="C136" s="58" t="s">
        <v>645</v>
      </c>
      <c r="D136" s="58" t="s">
        <v>137</v>
      </c>
      <c r="E136" s="59" t="s">
        <v>646</v>
      </c>
      <c r="F136" s="60" t="s">
        <v>127</v>
      </c>
      <c r="G136" s="1"/>
      <c r="H136" s="1"/>
      <c r="I136" s="1"/>
      <c r="J136" s="1"/>
      <c r="K136" s="1"/>
      <c r="L136" s="1"/>
      <c r="M136" s="11"/>
      <c r="N136" s="1"/>
      <c r="O136" s="1"/>
      <c r="P136" s="1"/>
      <c r="Q136" s="11"/>
      <c r="R136" s="1"/>
      <c r="S136" s="1"/>
      <c r="T136" s="1"/>
      <c r="U136" s="1"/>
      <c r="V136" s="1"/>
      <c r="W136" s="1"/>
      <c r="X136" s="1"/>
      <c r="Y136" s="1"/>
      <c r="Z136" s="1"/>
      <c r="AA136" s="11"/>
      <c r="AB136" s="11"/>
      <c r="AC136" s="1"/>
      <c r="AD136" s="1"/>
      <c r="AE136" s="11"/>
      <c r="AF136" s="11"/>
      <c r="AG136" s="1"/>
      <c r="AH136" s="11"/>
      <c r="AI136" s="11"/>
      <c r="AJ136" s="1"/>
      <c r="AK136" s="1"/>
      <c r="AL136" s="11"/>
      <c r="AM136" s="11"/>
      <c r="AN136" s="1"/>
      <c r="AO136" s="1"/>
      <c r="AP136" s="1"/>
    </row>
    <row x14ac:dyDescent="0.25" r="137" customHeight="1" ht="18.75">
      <c r="A137" s="19">
        <f>+LEN(E137)</f>
      </c>
      <c r="B137" s="20" t="s">
        <v>647</v>
      </c>
      <c r="C137" s="58" t="s">
        <v>648</v>
      </c>
      <c r="D137" s="58" t="s">
        <v>165</v>
      </c>
      <c r="E137" s="59" t="s">
        <v>649</v>
      </c>
      <c r="F137" s="60" t="s">
        <v>127</v>
      </c>
      <c r="G137" s="1"/>
      <c r="H137" s="1"/>
      <c r="I137" s="1"/>
      <c r="J137" s="1"/>
      <c r="K137" s="1"/>
      <c r="L137" s="1"/>
      <c r="M137" s="11"/>
      <c r="N137" s="1"/>
      <c r="O137" s="1"/>
      <c r="P137" s="1"/>
      <c r="Q137" s="11"/>
      <c r="R137" s="1"/>
      <c r="S137" s="1"/>
      <c r="T137" s="1"/>
      <c r="U137" s="1"/>
      <c r="V137" s="1"/>
      <c r="W137" s="1"/>
      <c r="X137" s="1"/>
      <c r="Y137" s="1"/>
      <c r="Z137" s="1"/>
      <c r="AA137" s="11"/>
      <c r="AB137" s="11"/>
      <c r="AC137" s="1"/>
      <c r="AD137" s="1"/>
      <c r="AE137" s="11"/>
      <c r="AF137" s="11"/>
      <c r="AG137" s="1"/>
      <c r="AH137" s="11"/>
      <c r="AI137" s="11"/>
      <c r="AJ137" s="1"/>
      <c r="AK137" s="1"/>
      <c r="AL137" s="11"/>
      <c r="AM137" s="11"/>
      <c r="AN137" s="1"/>
      <c r="AO137" s="1"/>
      <c r="AP137" s="1"/>
    </row>
    <row x14ac:dyDescent="0.25" r="138" customHeight="1" ht="18.75">
      <c r="A138" s="19">
        <f>+LEN(E138)</f>
      </c>
      <c r="B138" s="20" t="s">
        <v>650</v>
      </c>
      <c r="C138" s="21" t="s">
        <v>651</v>
      </c>
      <c r="D138" s="21" t="s">
        <v>165</v>
      </c>
      <c r="E138" s="22" t="s">
        <v>652</v>
      </c>
      <c r="F138" s="23" t="s">
        <v>127</v>
      </c>
      <c r="G138" s="1"/>
      <c r="H138" s="1"/>
      <c r="I138" s="1"/>
      <c r="J138" s="1"/>
      <c r="K138" s="1"/>
      <c r="L138" s="1"/>
      <c r="M138" s="11"/>
      <c r="N138" s="1"/>
      <c r="O138" s="1"/>
      <c r="P138" s="1"/>
      <c r="Q138" s="11"/>
      <c r="R138" s="1"/>
      <c r="S138" s="1"/>
      <c r="T138" s="1"/>
      <c r="U138" s="1"/>
      <c r="V138" s="1"/>
      <c r="W138" s="1"/>
      <c r="X138" s="1"/>
      <c r="Y138" s="1"/>
      <c r="Z138" s="1"/>
      <c r="AA138" s="11"/>
      <c r="AB138" s="11"/>
      <c r="AC138" s="1"/>
      <c r="AD138" s="1"/>
      <c r="AE138" s="11"/>
      <c r="AF138" s="11"/>
      <c r="AG138" s="1"/>
      <c r="AH138" s="11"/>
      <c r="AI138" s="11"/>
      <c r="AJ138" s="1"/>
      <c r="AK138" s="1"/>
      <c r="AL138" s="11"/>
      <c r="AM138" s="11"/>
      <c r="AN138" s="1"/>
      <c r="AO138" s="1"/>
      <c r="AP138" s="1"/>
    </row>
    <row x14ac:dyDescent="0.25" r="139" customHeight="1" ht="18.75">
      <c r="A139" s="19">
        <f>+LEN(E139)</f>
      </c>
      <c r="B139" s="20" t="s">
        <v>653</v>
      </c>
      <c r="C139" s="21" t="s">
        <v>654</v>
      </c>
      <c r="D139" s="21" t="s">
        <v>165</v>
      </c>
      <c r="E139" s="22" t="s">
        <v>655</v>
      </c>
      <c r="F139" s="23" t="s">
        <v>127</v>
      </c>
      <c r="G139" s="1"/>
      <c r="H139" s="1"/>
      <c r="I139" s="1"/>
      <c r="J139" s="1"/>
      <c r="K139" s="1"/>
      <c r="L139" s="1"/>
      <c r="M139" s="11"/>
      <c r="N139" s="1"/>
      <c r="O139" s="1"/>
      <c r="P139" s="1"/>
      <c r="Q139" s="11"/>
      <c r="R139" s="1"/>
      <c r="S139" s="1"/>
      <c r="T139" s="1"/>
      <c r="U139" s="1"/>
      <c r="V139" s="1"/>
      <c r="W139" s="1"/>
      <c r="X139" s="1"/>
      <c r="Y139" s="1"/>
      <c r="Z139" s="1"/>
      <c r="AA139" s="11"/>
      <c r="AB139" s="11"/>
      <c r="AC139" s="1"/>
      <c r="AD139" s="1"/>
      <c r="AE139" s="11"/>
      <c r="AF139" s="11"/>
      <c r="AG139" s="1"/>
      <c r="AH139" s="11"/>
      <c r="AI139" s="11"/>
      <c r="AJ139" s="1"/>
      <c r="AK139" s="1"/>
      <c r="AL139" s="11"/>
      <c r="AM139" s="11"/>
      <c r="AN139" s="1"/>
      <c r="AO139" s="1"/>
      <c r="AP139" s="1"/>
    </row>
    <row x14ac:dyDescent="0.25" r="140" customHeight="1" ht="18.75">
      <c r="A140" s="19">
        <f>+LEN(E140)</f>
      </c>
      <c r="B140" s="57" t="s">
        <v>656</v>
      </c>
      <c r="C140" s="63" t="s">
        <v>657</v>
      </c>
      <c r="D140" s="58" t="s">
        <v>165</v>
      </c>
      <c r="E140" s="59" t="s">
        <v>658</v>
      </c>
      <c r="F140" s="60" t="s">
        <v>127</v>
      </c>
      <c r="G140" s="1"/>
      <c r="H140" s="1"/>
      <c r="I140" s="1"/>
      <c r="J140" s="1"/>
      <c r="K140" s="1"/>
      <c r="L140" s="1"/>
      <c r="M140" s="11"/>
      <c r="N140" s="1"/>
      <c r="O140" s="1"/>
      <c r="P140" s="1"/>
      <c r="Q140" s="11"/>
      <c r="R140" s="1"/>
      <c r="S140" s="1"/>
      <c r="T140" s="1"/>
      <c r="U140" s="1"/>
      <c r="V140" s="1"/>
      <c r="W140" s="1"/>
      <c r="X140" s="1"/>
      <c r="Y140" s="1"/>
      <c r="Z140" s="1"/>
      <c r="AA140" s="11"/>
      <c r="AB140" s="11"/>
      <c r="AC140" s="1"/>
      <c r="AD140" s="1"/>
      <c r="AE140" s="11"/>
      <c r="AF140" s="11"/>
      <c r="AG140" s="1"/>
      <c r="AH140" s="11"/>
      <c r="AI140" s="11"/>
      <c r="AJ140" s="1"/>
      <c r="AK140" s="1"/>
      <c r="AL140" s="11"/>
      <c r="AM140" s="11"/>
      <c r="AN140" s="1"/>
      <c r="AO140" s="1"/>
      <c r="AP140" s="1"/>
    </row>
    <row x14ac:dyDescent="0.25" r="141" customHeight="1" ht="18.75">
      <c r="A141" s="19">
        <f>+LEN(E141)</f>
      </c>
      <c r="B141" s="20" t="s">
        <v>659</v>
      </c>
      <c r="C141" s="21" t="s">
        <v>660</v>
      </c>
      <c r="D141" s="21" t="s">
        <v>137</v>
      </c>
      <c r="E141" s="22" t="s">
        <v>661</v>
      </c>
      <c r="F141" s="23" t="s">
        <v>127</v>
      </c>
      <c r="G141" s="1"/>
      <c r="H141" s="1"/>
      <c r="I141" s="1"/>
      <c r="J141" s="1"/>
      <c r="K141" s="1"/>
      <c r="L141" s="1"/>
      <c r="M141" s="11"/>
      <c r="N141" s="1"/>
      <c r="O141" s="1"/>
      <c r="P141" s="1"/>
      <c r="Q141" s="11"/>
      <c r="R141" s="1"/>
      <c r="S141" s="1"/>
      <c r="T141" s="1"/>
      <c r="U141" s="1"/>
      <c r="V141" s="1"/>
      <c r="W141" s="1"/>
      <c r="X141" s="1"/>
      <c r="Y141" s="1"/>
      <c r="Z141" s="1"/>
      <c r="AA141" s="11"/>
      <c r="AB141" s="11"/>
      <c r="AC141" s="1"/>
      <c r="AD141" s="1"/>
      <c r="AE141" s="11"/>
      <c r="AF141" s="11"/>
      <c r="AG141" s="1"/>
      <c r="AH141" s="11"/>
      <c r="AI141" s="11"/>
      <c r="AJ141" s="1"/>
      <c r="AK141" s="1"/>
      <c r="AL141" s="11"/>
      <c r="AM141" s="11"/>
      <c r="AN141" s="1"/>
      <c r="AO141" s="1"/>
      <c r="AP141" s="1"/>
    </row>
    <row x14ac:dyDescent="0.25" r="142" customHeight="1" ht="18.75">
      <c r="A142" s="19">
        <f>+LEN(E142)</f>
      </c>
      <c r="B142" s="57" t="s">
        <v>662</v>
      </c>
      <c r="C142" s="58" t="s">
        <v>663</v>
      </c>
      <c r="D142" s="58" t="s">
        <v>165</v>
      </c>
      <c r="E142" s="59" t="s">
        <v>664</v>
      </c>
      <c r="F142" s="60" t="s">
        <v>127</v>
      </c>
      <c r="G142" s="1"/>
      <c r="H142" s="1"/>
      <c r="I142" s="1"/>
      <c r="J142" s="1"/>
      <c r="K142" s="1"/>
      <c r="L142" s="1"/>
      <c r="M142" s="11"/>
      <c r="N142" s="1"/>
      <c r="O142" s="1"/>
      <c r="P142" s="1"/>
      <c r="Q142" s="11"/>
      <c r="R142" s="1"/>
      <c r="S142" s="1"/>
      <c r="T142" s="1"/>
      <c r="U142" s="1"/>
      <c r="V142" s="1"/>
      <c r="W142" s="1"/>
      <c r="X142" s="1"/>
      <c r="Y142" s="1"/>
      <c r="Z142" s="1"/>
      <c r="AA142" s="11"/>
      <c r="AB142" s="11"/>
      <c r="AC142" s="1"/>
      <c r="AD142" s="1"/>
      <c r="AE142" s="11"/>
      <c r="AF142" s="11"/>
      <c r="AG142" s="1"/>
      <c r="AH142" s="11"/>
      <c r="AI142" s="11"/>
      <c r="AJ142" s="1"/>
      <c r="AK142" s="1"/>
      <c r="AL142" s="11"/>
      <c r="AM142" s="11"/>
      <c r="AN142" s="1"/>
      <c r="AO142" s="1"/>
      <c r="AP142" s="1"/>
    </row>
    <row x14ac:dyDescent="0.25" r="143" customHeight="1" ht="18.75">
      <c r="A143" s="19">
        <f>+LEN(E143)</f>
      </c>
      <c r="B143" s="57" t="s">
        <v>665</v>
      </c>
      <c r="C143" s="58" t="s">
        <v>666</v>
      </c>
      <c r="D143" s="58" t="s">
        <v>165</v>
      </c>
      <c r="E143" s="59" t="s">
        <v>667</v>
      </c>
      <c r="F143" s="60" t="s">
        <v>127</v>
      </c>
      <c r="G143" s="1"/>
      <c r="H143" s="1"/>
      <c r="I143" s="1"/>
      <c r="J143" s="1"/>
      <c r="K143" s="1"/>
      <c r="L143" s="1"/>
      <c r="M143" s="11"/>
      <c r="N143" s="1"/>
      <c r="O143" s="1"/>
      <c r="P143" s="1"/>
      <c r="Q143" s="11"/>
      <c r="R143" s="1"/>
      <c r="S143" s="1"/>
      <c r="T143" s="1"/>
      <c r="U143" s="1"/>
      <c r="V143" s="1"/>
      <c r="W143" s="1"/>
      <c r="X143" s="1"/>
      <c r="Y143" s="1"/>
      <c r="Z143" s="1"/>
      <c r="AA143" s="11"/>
      <c r="AB143" s="11"/>
      <c r="AC143" s="1"/>
      <c r="AD143" s="1"/>
      <c r="AE143" s="11"/>
      <c r="AF143" s="11"/>
      <c r="AG143" s="1"/>
      <c r="AH143" s="11"/>
      <c r="AI143" s="11"/>
      <c r="AJ143" s="1"/>
      <c r="AK143" s="1"/>
      <c r="AL143" s="11"/>
      <c r="AM143" s="11"/>
      <c r="AN143" s="1"/>
      <c r="AO143" s="1"/>
      <c r="AP143" s="1"/>
    </row>
    <row x14ac:dyDescent="0.25" r="144" customHeight="1" ht="18.75">
      <c r="A144" s="19">
        <f>+LEN(E144)</f>
      </c>
      <c r="B144" s="57" t="s">
        <v>668</v>
      </c>
      <c r="C144" s="58" t="s">
        <v>669</v>
      </c>
      <c r="D144" s="58" t="s">
        <v>165</v>
      </c>
      <c r="E144" s="59" t="s">
        <v>670</v>
      </c>
      <c r="F144" s="60" t="s">
        <v>127</v>
      </c>
      <c r="G144" s="1"/>
      <c r="H144" s="1"/>
      <c r="I144" s="1"/>
      <c r="J144" s="1"/>
      <c r="K144" s="1"/>
      <c r="L144" s="1"/>
      <c r="M144" s="11"/>
      <c r="N144" s="1"/>
      <c r="O144" s="1"/>
      <c r="P144" s="1"/>
      <c r="Q144" s="11"/>
      <c r="R144" s="1"/>
      <c r="S144" s="1"/>
      <c r="T144" s="1"/>
      <c r="U144" s="1"/>
      <c r="V144" s="1"/>
      <c r="W144" s="1"/>
      <c r="X144" s="1"/>
      <c r="Y144" s="1"/>
      <c r="Z144" s="1"/>
      <c r="AA144" s="11"/>
      <c r="AB144" s="11"/>
      <c r="AC144" s="1"/>
      <c r="AD144" s="1"/>
      <c r="AE144" s="11"/>
      <c r="AF144" s="11"/>
      <c r="AG144" s="1"/>
      <c r="AH144" s="11"/>
      <c r="AI144" s="11"/>
      <c r="AJ144" s="1"/>
      <c r="AK144" s="1"/>
      <c r="AL144" s="11"/>
      <c r="AM144" s="11"/>
      <c r="AN144" s="1"/>
      <c r="AO144" s="1"/>
      <c r="AP144" s="1"/>
    </row>
    <row x14ac:dyDescent="0.25" r="145" customHeight="1" ht="18.75">
      <c r="A145" s="19">
        <f>+LEN(E145)</f>
      </c>
      <c r="B145" s="57" t="s">
        <v>671</v>
      </c>
      <c r="C145" s="58" t="s">
        <v>639</v>
      </c>
      <c r="D145" s="58" t="s">
        <v>165</v>
      </c>
      <c r="E145" s="59" t="s">
        <v>640</v>
      </c>
      <c r="F145" s="60" t="s">
        <v>127</v>
      </c>
      <c r="G145" s="1"/>
      <c r="H145" s="1"/>
      <c r="I145" s="1"/>
      <c r="J145" s="1"/>
      <c r="K145" s="1"/>
      <c r="L145" s="1"/>
      <c r="M145" s="11"/>
      <c r="N145" s="1"/>
      <c r="O145" s="1"/>
      <c r="P145" s="1"/>
      <c r="Q145" s="11"/>
      <c r="R145" s="1"/>
      <c r="S145" s="1"/>
      <c r="T145" s="1"/>
      <c r="U145" s="1"/>
      <c r="V145" s="1"/>
      <c r="W145" s="1"/>
      <c r="X145" s="1"/>
      <c r="Y145" s="1"/>
      <c r="Z145" s="1"/>
      <c r="AA145" s="11"/>
      <c r="AB145" s="11"/>
      <c r="AC145" s="1"/>
      <c r="AD145" s="1"/>
      <c r="AE145" s="11"/>
      <c r="AF145" s="11"/>
      <c r="AG145" s="1"/>
      <c r="AH145" s="11"/>
      <c r="AI145" s="11"/>
      <c r="AJ145" s="1"/>
      <c r="AK145" s="1"/>
      <c r="AL145" s="11"/>
      <c r="AM145" s="11"/>
      <c r="AN145" s="1"/>
      <c r="AO145" s="1"/>
      <c r="AP145" s="1"/>
    </row>
    <row x14ac:dyDescent="0.25" r="146" customHeight="1" ht="18.75">
      <c r="A146" s="19">
        <f>+LEN(E146)</f>
      </c>
      <c r="B146" s="57" t="s">
        <v>672</v>
      </c>
      <c r="C146" s="58" t="s">
        <v>673</v>
      </c>
      <c r="D146" s="58" t="s">
        <v>165</v>
      </c>
      <c r="E146" s="59" t="s">
        <v>674</v>
      </c>
      <c r="F146" s="60" t="s">
        <v>127</v>
      </c>
      <c r="G146" s="1"/>
      <c r="H146" s="1"/>
      <c r="I146" s="1"/>
      <c r="J146" s="1"/>
      <c r="K146" s="1"/>
      <c r="L146" s="1"/>
      <c r="M146" s="11"/>
      <c r="N146" s="1"/>
      <c r="O146" s="1"/>
      <c r="P146" s="1"/>
      <c r="Q146" s="11"/>
      <c r="R146" s="1"/>
      <c r="S146" s="1"/>
      <c r="T146" s="1"/>
      <c r="U146" s="1"/>
      <c r="V146" s="1"/>
      <c r="W146" s="1"/>
      <c r="X146" s="1"/>
      <c r="Y146" s="1"/>
      <c r="Z146" s="1"/>
      <c r="AA146" s="11"/>
      <c r="AB146" s="11"/>
      <c r="AC146" s="1"/>
      <c r="AD146" s="1"/>
      <c r="AE146" s="11"/>
      <c r="AF146" s="11"/>
      <c r="AG146" s="1"/>
      <c r="AH146" s="11"/>
      <c r="AI146" s="11"/>
      <c r="AJ146" s="1"/>
      <c r="AK146" s="1"/>
      <c r="AL146" s="11"/>
      <c r="AM146" s="11"/>
      <c r="AN146" s="1"/>
      <c r="AO146" s="1"/>
      <c r="AP146" s="1"/>
    </row>
    <row x14ac:dyDescent="0.25" r="147" customHeight="1" ht="18.75">
      <c r="A147" s="19">
        <f>+LEN(E147)</f>
      </c>
      <c r="B147" s="57" t="s">
        <v>675</v>
      </c>
      <c r="C147" s="58" t="s">
        <v>676</v>
      </c>
      <c r="D147" s="58" t="s">
        <v>137</v>
      </c>
      <c r="E147" s="59" t="s">
        <v>677</v>
      </c>
      <c r="F147" s="60" t="s">
        <v>127</v>
      </c>
      <c r="G147" s="1"/>
      <c r="H147" s="1"/>
      <c r="I147" s="1"/>
      <c r="J147" s="1"/>
      <c r="K147" s="1"/>
      <c r="L147" s="1"/>
      <c r="M147" s="11"/>
      <c r="N147" s="1"/>
      <c r="O147" s="1"/>
      <c r="P147" s="1"/>
      <c r="Q147" s="11"/>
      <c r="R147" s="1"/>
      <c r="S147" s="1"/>
      <c r="T147" s="1"/>
      <c r="U147" s="1"/>
      <c r="V147" s="1"/>
      <c r="W147" s="1"/>
      <c r="X147" s="1"/>
      <c r="Y147" s="1"/>
      <c r="Z147" s="1"/>
      <c r="AA147" s="11"/>
      <c r="AB147" s="11"/>
      <c r="AC147" s="1"/>
      <c r="AD147" s="1"/>
      <c r="AE147" s="11"/>
      <c r="AF147" s="11"/>
      <c r="AG147" s="1"/>
      <c r="AH147" s="11"/>
      <c r="AI147" s="11"/>
      <c r="AJ147" s="1"/>
      <c r="AK147" s="1"/>
      <c r="AL147" s="11"/>
      <c r="AM147" s="11"/>
      <c r="AN147" s="1"/>
      <c r="AO147" s="1"/>
      <c r="AP147" s="1"/>
    </row>
    <row x14ac:dyDescent="0.25" r="148" customHeight="1" ht="18.75">
      <c r="A148" s="19">
        <f>+LEN(E148)</f>
      </c>
      <c r="B148" s="57" t="s">
        <v>678</v>
      </c>
      <c r="C148" s="21" t="s">
        <v>679</v>
      </c>
      <c r="D148" s="21" t="s">
        <v>137</v>
      </c>
      <c r="E148" s="22" t="s">
        <v>680</v>
      </c>
      <c r="F148" s="23" t="s">
        <v>127</v>
      </c>
      <c r="G148" s="1"/>
      <c r="H148" s="1"/>
      <c r="I148" s="1"/>
      <c r="J148" s="1"/>
      <c r="K148" s="1"/>
      <c r="L148" s="1"/>
      <c r="M148" s="11"/>
      <c r="N148" s="1"/>
      <c r="O148" s="1"/>
      <c r="P148" s="1"/>
      <c r="Q148" s="11"/>
      <c r="R148" s="1"/>
      <c r="S148" s="1"/>
      <c r="T148" s="1"/>
      <c r="U148" s="1"/>
      <c r="V148" s="1"/>
      <c r="W148" s="1"/>
      <c r="X148" s="1"/>
      <c r="Y148" s="1"/>
      <c r="Z148" s="1"/>
      <c r="AA148" s="11"/>
      <c r="AB148" s="11"/>
      <c r="AC148" s="1"/>
      <c r="AD148" s="1"/>
      <c r="AE148" s="11"/>
      <c r="AF148" s="11"/>
      <c r="AG148" s="1"/>
      <c r="AH148" s="11"/>
      <c r="AI148" s="11"/>
      <c r="AJ148" s="1"/>
      <c r="AK148" s="1"/>
      <c r="AL148" s="11"/>
      <c r="AM148" s="11"/>
      <c r="AN148" s="1"/>
      <c r="AO148" s="1"/>
      <c r="AP148" s="1"/>
    </row>
    <row x14ac:dyDescent="0.25" r="149" customHeight="1" ht="18.75">
      <c r="A149" s="19">
        <f>+LEN(E149)</f>
      </c>
      <c r="B149" s="57" t="s">
        <v>681</v>
      </c>
      <c r="C149" s="58" t="s">
        <v>682</v>
      </c>
      <c r="D149" s="58" t="s">
        <v>137</v>
      </c>
      <c r="E149" s="57" t="s">
        <v>683</v>
      </c>
      <c r="F149" s="60" t="s">
        <v>127</v>
      </c>
      <c r="G149" s="1"/>
      <c r="H149" s="1"/>
      <c r="I149" s="1"/>
      <c r="J149" s="1"/>
      <c r="K149" s="1"/>
      <c r="L149" s="1"/>
      <c r="M149" s="11"/>
      <c r="N149" s="1"/>
      <c r="O149" s="1"/>
      <c r="P149" s="1"/>
      <c r="Q149" s="11"/>
      <c r="R149" s="1"/>
      <c r="S149" s="1"/>
      <c r="T149" s="1"/>
      <c r="U149" s="1"/>
      <c r="V149" s="1"/>
      <c r="W149" s="1"/>
      <c r="X149" s="1"/>
      <c r="Y149" s="1"/>
      <c r="Z149" s="1"/>
      <c r="AA149" s="11"/>
      <c r="AB149" s="11"/>
      <c r="AC149" s="1"/>
      <c r="AD149" s="1"/>
      <c r="AE149" s="11"/>
      <c r="AF149" s="11"/>
      <c r="AG149" s="1"/>
      <c r="AH149" s="11"/>
      <c r="AI149" s="11"/>
      <c r="AJ149" s="1"/>
      <c r="AK149" s="1"/>
      <c r="AL149" s="11"/>
      <c r="AM149" s="11"/>
      <c r="AN149" s="1"/>
      <c r="AO149" s="1"/>
      <c r="AP149" s="1"/>
    </row>
    <row x14ac:dyDescent="0.25" r="150" customHeight="1" ht="18.75">
      <c r="A150" s="19">
        <f>+LEN(E150)</f>
      </c>
      <c r="B150" s="20" t="s">
        <v>684</v>
      </c>
      <c r="C150" s="21" t="s">
        <v>685</v>
      </c>
      <c r="D150" s="21" t="s">
        <v>137</v>
      </c>
      <c r="E150" s="22" t="s">
        <v>686</v>
      </c>
      <c r="F150" s="23" t="s">
        <v>127</v>
      </c>
      <c r="G150" s="1"/>
      <c r="H150" s="1"/>
      <c r="I150" s="1"/>
      <c r="J150" s="1"/>
      <c r="K150" s="1"/>
      <c r="L150" s="1"/>
      <c r="M150" s="11"/>
      <c r="N150" s="1"/>
      <c r="O150" s="1"/>
      <c r="P150" s="1"/>
      <c r="Q150" s="11"/>
      <c r="R150" s="1"/>
      <c r="S150" s="1"/>
      <c r="T150" s="1"/>
      <c r="U150" s="1"/>
      <c r="V150" s="1"/>
      <c r="W150" s="1"/>
      <c r="X150" s="1"/>
      <c r="Y150" s="1"/>
      <c r="Z150" s="1"/>
      <c r="AA150" s="11"/>
      <c r="AB150" s="11"/>
      <c r="AC150" s="1"/>
      <c r="AD150" s="1"/>
      <c r="AE150" s="11"/>
      <c r="AF150" s="11"/>
      <c r="AG150" s="1"/>
      <c r="AH150" s="11"/>
      <c r="AI150" s="11"/>
      <c r="AJ150" s="1"/>
      <c r="AK150" s="1"/>
      <c r="AL150" s="11"/>
      <c r="AM150" s="11"/>
      <c r="AN150" s="1"/>
      <c r="AO150" s="1"/>
      <c r="AP150" s="1"/>
    </row>
    <row x14ac:dyDescent="0.25" r="151" customHeight="1" ht="18.75">
      <c r="A151" s="19">
        <f>+LEN(E151)</f>
      </c>
      <c r="B151" s="20" t="s">
        <v>687</v>
      </c>
      <c r="C151" s="21" t="s">
        <v>688</v>
      </c>
      <c r="D151" s="21" t="s">
        <v>165</v>
      </c>
      <c r="E151" s="22" t="s">
        <v>689</v>
      </c>
      <c r="F151" s="23" t="s">
        <v>127</v>
      </c>
      <c r="G151" s="1"/>
      <c r="H151" s="1"/>
      <c r="I151" s="1"/>
      <c r="J151" s="1"/>
      <c r="K151" s="1"/>
      <c r="L151" s="1"/>
      <c r="M151" s="11"/>
      <c r="N151" s="1"/>
      <c r="O151" s="1"/>
      <c r="P151" s="1"/>
      <c r="Q151" s="11"/>
      <c r="R151" s="1"/>
      <c r="S151" s="1"/>
      <c r="T151" s="1"/>
      <c r="U151" s="1"/>
      <c r="V151" s="1"/>
      <c r="W151" s="1"/>
      <c r="X151" s="1"/>
      <c r="Y151" s="1"/>
      <c r="Z151" s="1"/>
      <c r="AA151" s="11"/>
      <c r="AB151" s="19">
        <v>1</v>
      </c>
      <c r="AC151" s="1"/>
      <c r="AD151" s="1"/>
      <c r="AE151" s="11"/>
      <c r="AF151" s="11"/>
      <c r="AG151" s="1"/>
      <c r="AH151" s="11"/>
      <c r="AI151" s="11"/>
      <c r="AJ151" s="1"/>
      <c r="AK151" s="1"/>
      <c r="AL151" s="11"/>
      <c r="AM151" s="11"/>
      <c r="AN151" s="1"/>
      <c r="AO151" s="1"/>
      <c r="AP151" s="1"/>
    </row>
    <row x14ac:dyDescent="0.25" r="152" customHeight="1" ht="18.75">
      <c r="A152" s="19">
        <f>+LEN(E152)</f>
      </c>
      <c r="B152" s="20" t="s">
        <v>690</v>
      </c>
      <c r="C152" s="21" t="s">
        <v>691</v>
      </c>
      <c r="D152" s="21" t="s">
        <v>137</v>
      </c>
      <c r="E152" s="22" t="s">
        <v>692</v>
      </c>
      <c r="F152" s="23" t="s">
        <v>127</v>
      </c>
      <c r="G152" s="1"/>
      <c r="H152" s="1"/>
      <c r="I152" s="1"/>
      <c r="J152" s="1"/>
      <c r="K152" s="1"/>
      <c r="L152" s="1"/>
      <c r="M152" s="11"/>
      <c r="N152" s="1"/>
      <c r="O152" s="1"/>
      <c r="P152" s="1"/>
      <c r="Q152" s="11"/>
      <c r="R152" s="1"/>
      <c r="S152" s="1"/>
      <c r="T152" s="1"/>
      <c r="U152" s="1"/>
      <c r="V152" s="1"/>
      <c r="W152" s="1"/>
      <c r="X152" s="1"/>
      <c r="Y152" s="1"/>
      <c r="Z152" s="1"/>
      <c r="AA152" s="11"/>
      <c r="AB152" s="11"/>
      <c r="AC152" s="1"/>
      <c r="AD152" s="1"/>
      <c r="AE152" s="11"/>
      <c r="AF152" s="11"/>
      <c r="AG152" s="1"/>
      <c r="AH152" s="11"/>
      <c r="AI152" s="11"/>
      <c r="AJ152" s="1"/>
      <c r="AK152" s="1"/>
      <c r="AL152" s="11"/>
      <c r="AM152" s="11"/>
      <c r="AN152" s="1"/>
      <c r="AO152" s="1"/>
      <c r="AP152" s="1"/>
    </row>
    <row x14ac:dyDescent="0.25" r="153" customHeight="1" ht="18.75">
      <c r="A153" s="19">
        <f>+LEN(E153)</f>
      </c>
      <c r="B153" s="20" t="s">
        <v>693</v>
      </c>
      <c r="C153" s="21" t="s">
        <v>694</v>
      </c>
      <c r="D153" s="21" t="s">
        <v>137</v>
      </c>
      <c r="E153" s="22" t="s">
        <v>695</v>
      </c>
      <c r="F153" s="23" t="s">
        <v>127</v>
      </c>
      <c r="G153" s="1"/>
      <c r="H153" s="1"/>
      <c r="I153" s="1"/>
      <c r="J153" s="1"/>
      <c r="K153" s="1"/>
      <c r="L153" s="1"/>
      <c r="M153" s="11"/>
      <c r="N153" s="1"/>
      <c r="O153" s="1"/>
      <c r="P153" s="1"/>
      <c r="Q153" s="11"/>
      <c r="R153" s="1"/>
      <c r="S153" s="1"/>
      <c r="T153" s="1"/>
      <c r="U153" s="1"/>
      <c r="V153" s="1"/>
      <c r="W153" s="1"/>
      <c r="X153" s="1"/>
      <c r="Y153" s="1"/>
      <c r="Z153" s="1"/>
      <c r="AA153" s="11"/>
      <c r="AB153" s="11"/>
      <c r="AC153" s="1"/>
      <c r="AD153" s="1"/>
      <c r="AE153" s="11"/>
      <c r="AF153" s="11"/>
      <c r="AG153" s="1"/>
      <c r="AH153" s="11"/>
      <c r="AI153" s="11"/>
      <c r="AJ153" s="1"/>
      <c r="AK153" s="1"/>
      <c r="AL153" s="11"/>
      <c r="AM153" s="11"/>
      <c r="AN153" s="1"/>
      <c r="AO153" s="1"/>
      <c r="AP153" s="1"/>
    </row>
    <row x14ac:dyDescent="0.25" r="154" customHeight="1" ht="18.75">
      <c r="A154" s="19">
        <f>+LEN(E154)</f>
      </c>
      <c r="B154" s="20" t="s">
        <v>696</v>
      </c>
      <c r="C154" s="21" t="s">
        <v>697</v>
      </c>
      <c r="D154" s="21" t="s">
        <v>137</v>
      </c>
      <c r="E154" s="22" t="s">
        <v>698</v>
      </c>
      <c r="F154" s="23" t="s">
        <v>127</v>
      </c>
      <c r="G154" s="1"/>
      <c r="H154" s="1"/>
      <c r="I154" s="1"/>
      <c r="J154" s="1"/>
      <c r="K154" s="1"/>
      <c r="L154" s="1"/>
      <c r="M154" s="11"/>
      <c r="N154" s="1"/>
      <c r="O154" s="1"/>
      <c r="P154" s="1"/>
      <c r="Q154" s="11"/>
      <c r="R154" s="1"/>
      <c r="S154" s="1"/>
      <c r="T154" s="1"/>
      <c r="U154" s="1"/>
      <c r="V154" s="1"/>
      <c r="W154" s="1"/>
      <c r="X154" s="1"/>
      <c r="Y154" s="1"/>
      <c r="Z154" s="1"/>
      <c r="AA154" s="11"/>
      <c r="AB154" s="11"/>
      <c r="AC154" s="1"/>
      <c r="AD154" s="1"/>
      <c r="AE154" s="11"/>
      <c r="AF154" s="11"/>
      <c r="AG154" s="1"/>
      <c r="AH154" s="11"/>
      <c r="AI154" s="11"/>
      <c r="AJ154" s="1"/>
      <c r="AK154" s="1"/>
      <c r="AL154" s="11"/>
      <c r="AM154" s="11"/>
      <c r="AN154" s="1"/>
      <c r="AO154" s="1"/>
      <c r="AP154" s="1"/>
    </row>
    <row x14ac:dyDescent="0.25" r="155" customHeight="1" ht="18.75">
      <c r="A155" s="19">
        <f>+LEN(E155)</f>
      </c>
      <c r="B155" s="20" t="s">
        <v>699</v>
      </c>
      <c r="C155" s="21" t="s">
        <v>700</v>
      </c>
      <c r="D155" s="21" t="s">
        <v>137</v>
      </c>
      <c r="E155" s="22" t="s">
        <v>701</v>
      </c>
      <c r="F155" s="23" t="s">
        <v>127</v>
      </c>
      <c r="G155" s="1"/>
      <c r="H155" s="1"/>
      <c r="I155" s="1"/>
      <c r="J155" s="1"/>
      <c r="K155" s="1"/>
      <c r="L155" s="1"/>
      <c r="M155" s="11"/>
      <c r="N155" s="1"/>
      <c r="O155" s="1"/>
      <c r="P155" s="1"/>
      <c r="Q155" s="11"/>
      <c r="R155" s="1"/>
      <c r="S155" s="1"/>
      <c r="T155" s="1"/>
      <c r="U155" s="1"/>
      <c r="V155" s="1"/>
      <c r="W155" s="1"/>
      <c r="X155" s="1"/>
      <c r="Y155" s="1"/>
      <c r="Z155" s="1"/>
      <c r="AA155" s="11"/>
      <c r="AB155" s="11"/>
      <c r="AC155" s="1"/>
      <c r="AD155" s="1"/>
      <c r="AE155" s="11"/>
      <c r="AF155" s="11"/>
      <c r="AG155" s="1"/>
      <c r="AH155" s="11"/>
      <c r="AI155" s="11"/>
      <c r="AJ155" s="1"/>
      <c r="AK155" s="1"/>
      <c r="AL155" s="11"/>
      <c r="AM155" s="11"/>
      <c r="AN155" s="1"/>
      <c r="AO155" s="1"/>
      <c r="AP155" s="1"/>
    </row>
    <row x14ac:dyDescent="0.25" r="156" customHeight="1" ht="18.75">
      <c r="A156" s="19">
        <f>+LEN(E156)</f>
      </c>
      <c r="B156" s="20" t="s">
        <v>702</v>
      </c>
      <c r="C156" s="21" t="s">
        <v>703</v>
      </c>
      <c r="D156" s="21" t="s">
        <v>137</v>
      </c>
      <c r="E156" s="22" t="s">
        <v>704</v>
      </c>
      <c r="F156" s="23" t="s">
        <v>127</v>
      </c>
      <c r="G156" s="1"/>
      <c r="H156" s="1"/>
      <c r="I156" s="1"/>
      <c r="J156" s="1"/>
      <c r="K156" s="1"/>
      <c r="L156" s="1"/>
      <c r="M156" s="11"/>
      <c r="N156" s="1"/>
      <c r="O156" s="1"/>
      <c r="P156" s="1"/>
      <c r="Q156" s="11"/>
      <c r="R156" s="1"/>
      <c r="S156" s="1"/>
      <c r="T156" s="1"/>
      <c r="U156" s="1"/>
      <c r="V156" s="1"/>
      <c r="W156" s="1"/>
      <c r="X156" s="1"/>
      <c r="Y156" s="1"/>
      <c r="Z156" s="1"/>
      <c r="AA156" s="11"/>
      <c r="AB156" s="11"/>
      <c r="AC156" s="1"/>
      <c r="AD156" s="1"/>
      <c r="AE156" s="11"/>
      <c r="AF156" s="11"/>
      <c r="AG156" s="1"/>
      <c r="AH156" s="11"/>
      <c r="AI156" s="11"/>
      <c r="AJ156" s="1"/>
      <c r="AK156" s="1"/>
      <c r="AL156" s="11"/>
      <c r="AM156" s="11"/>
      <c r="AN156" s="1"/>
      <c r="AO156" s="1"/>
      <c r="AP156" s="1"/>
    </row>
    <row x14ac:dyDescent="0.25" r="157" customHeight="1" ht="18.75">
      <c r="A157" s="19">
        <f>+LEN(E157)</f>
      </c>
      <c r="B157" s="20" t="s">
        <v>705</v>
      </c>
      <c r="C157" s="21" t="s">
        <v>706</v>
      </c>
      <c r="D157" s="21" t="s">
        <v>165</v>
      </c>
      <c r="E157" s="22" t="s">
        <v>707</v>
      </c>
      <c r="F157" s="23" t="s">
        <v>127</v>
      </c>
      <c r="G157" s="1"/>
      <c r="H157" s="1"/>
      <c r="I157" s="1"/>
      <c r="J157" s="1"/>
      <c r="K157" s="1"/>
      <c r="L157" s="1"/>
      <c r="M157" s="11"/>
      <c r="N157" s="1"/>
      <c r="O157" s="1"/>
      <c r="P157" s="1"/>
      <c r="Q157" s="11"/>
      <c r="R157" s="1"/>
      <c r="S157" s="1"/>
      <c r="T157" s="1"/>
      <c r="U157" s="1"/>
      <c r="V157" s="1"/>
      <c r="W157" s="1"/>
      <c r="X157" s="1"/>
      <c r="Y157" s="1"/>
      <c r="Z157" s="1"/>
      <c r="AA157" s="11"/>
      <c r="AB157" s="11"/>
      <c r="AC157" s="1"/>
      <c r="AD157" s="1"/>
      <c r="AE157" s="11"/>
      <c r="AF157" s="11"/>
      <c r="AG157" s="1"/>
      <c r="AH157" s="11"/>
      <c r="AI157" s="11"/>
      <c r="AJ157" s="1"/>
      <c r="AK157" s="1"/>
      <c r="AL157" s="11"/>
      <c r="AM157" s="11"/>
      <c r="AN157" s="1"/>
      <c r="AO157" s="1"/>
      <c r="AP157" s="1"/>
    </row>
    <row x14ac:dyDescent="0.25" r="158" customHeight="1" ht="18.75">
      <c r="A158" s="19">
        <f>+LEN(E158)</f>
      </c>
      <c r="B158" s="20" t="s">
        <v>708</v>
      </c>
      <c r="C158" s="21" t="s">
        <v>709</v>
      </c>
      <c r="D158" s="21" t="s">
        <v>137</v>
      </c>
      <c r="E158" s="22" t="s">
        <v>710</v>
      </c>
      <c r="F158" s="23" t="s">
        <v>127</v>
      </c>
      <c r="G158" s="1"/>
      <c r="H158" s="1"/>
      <c r="I158" s="1"/>
      <c r="J158" s="1"/>
      <c r="K158" s="1"/>
      <c r="L158" s="1"/>
      <c r="M158" s="11"/>
      <c r="N158" s="1"/>
      <c r="O158" s="1"/>
      <c r="P158" s="1"/>
      <c r="Q158" s="11"/>
      <c r="R158" s="1"/>
      <c r="S158" s="1"/>
      <c r="T158" s="1"/>
      <c r="U158" s="1"/>
      <c r="V158" s="1"/>
      <c r="W158" s="1"/>
      <c r="X158" s="1"/>
      <c r="Y158" s="1"/>
      <c r="Z158" s="1"/>
      <c r="AA158" s="11"/>
      <c r="AB158" s="11"/>
      <c r="AC158" s="1"/>
      <c r="AD158" s="1"/>
      <c r="AE158" s="11"/>
      <c r="AF158" s="11"/>
      <c r="AG158" s="1"/>
      <c r="AH158" s="11"/>
      <c r="AI158" s="11"/>
      <c r="AJ158" s="1"/>
      <c r="AK158" s="1"/>
      <c r="AL158" s="11"/>
      <c r="AM158" s="11"/>
      <c r="AN158" s="1"/>
      <c r="AO158" s="1"/>
      <c r="AP158" s="1"/>
    </row>
    <row x14ac:dyDescent="0.25" r="159" customHeight="1" ht="18.75">
      <c r="A159" s="19">
        <f>+LEN(E159)</f>
      </c>
      <c r="B159" s="20" t="s">
        <v>711</v>
      </c>
      <c r="C159" s="21" t="s">
        <v>712</v>
      </c>
      <c r="D159" s="21" t="s">
        <v>165</v>
      </c>
      <c r="E159" s="22" t="s">
        <v>713</v>
      </c>
      <c r="F159" s="23" t="s">
        <v>127</v>
      </c>
      <c r="G159" s="1"/>
      <c r="H159" s="1"/>
      <c r="I159" s="1"/>
      <c r="J159" s="1"/>
      <c r="K159" s="1"/>
      <c r="L159" s="1"/>
      <c r="M159" s="11"/>
      <c r="N159" s="1"/>
      <c r="O159" s="1"/>
      <c r="P159" s="1"/>
      <c r="Q159" s="11"/>
      <c r="R159" s="1"/>
      <c r="S159" s="1"/>
      <c r="T159" s="1"/>
      <c r="U159" s="1"/>
      <c r="V159" s="1"/>
      <c r="W159" s="1"/>
      <c r="X159" s="1"/>
      <c r="Y159" s="1"/>
      <c r="Z159" s="1"/>
      <c r="AA159" s="11"/>
      <c r="AB159" s="11"/>
      <c r="AC159" s="1"/>
      <c r="AD159" s="1"/>
      <c r="AE159" s="11"/>
      <c r="AF159" s="11"/>
      <c r="AG159" s="1"/>
      <c r="AH159" s="11"/>
      <c r="AI159" s="11"/>
      <c r="AJ159" s="1"/>
      <c r="AK159" s="1"/>
      <c r="AL159" s="11"/>
      <c r="AM159" s="11"/>
      <c r="AN159" s="1"/>
      <c r="AO159" s="1"/>
      <c r="AP159" s="1"/>
    </row>
    <row x14ac:dyDescent="0.25" r="160" customHeight="1" ht="18.75">
      <c r="A160" s="19">
        <f>+LEN(E160)</f>
      </c>
      <c r="B160" s="20" t="s">
        <v>714</v>
      </c>
      <c r="C160" s="21" t="s">
        <v>715</v>
      </c>
      <c r="D160" s="21" t="s">
        <v>165</v>
      </c>
      <c r="E160" s="22" t="s">
        <v>716</v>
      </c>
      <c r="F160" s="23" t="s">
        <v>127</v>
      </c>
      <c r="G160" s="1"/>
      <c r="H160" s="1"/>
      <c r="I160" s="1"/>
      <c r="J160" s="1"/>
      <c r="K160" s="1"/>
      <c r="L160" s="1"/>
      <c r="M160" s="11"/>
      <c r="N160" s="1"/>
      <c r="O160" s="1"/>
      <c r="P160" s="1"/>
      <c r="Q160" s="11"/>
      <c r="R160" s="1"/>
      <c r="S160" s="1"/>
      <c r="T160" s="1"/>
      <c r="U160" s="1"/>
      <c r="V160" s="1"/>
      <c r="W160" s="1"/>
      <c r="X160" s="1"/>
      <c r="Y160" s="1"/>
      <c r="Z160" s="1"/>
      <c r="AA160" s="11"/>
      <c r="AB160" s="11"/>
      <c r="AC160" s="1"/>
      <c r="AD160" s="1"/>
      <c r="AE160" s="11"/>
      <c r="AF160" s="11"/>
      <c r="AG160" s="1"/>
      <c r="AH160" s="11"/>
      <c r="AI160" s="11"/>
      <c r="AJ160" s="1"/>
      <c r="AK160" s="1"/>
      <c r="AL160" s="11"/>
      <c r="AM160" s="11"/>
      <c r="AN160" s="1"/>
      <c r="AO160" s="1"/>
      <c r="AP160" s="1"/>
    </row>
    <row x14ac:dyDescent="0.25" r="161" customHeight="1" ht="18.75">
      <c r="A161" s="19">
        <f>+LEN(E161)</f>
      </c>
      <c r="B161" s="20" t="s">
        <v>717</v>
      </c>
      <c r="C161" s="21" t="s">
        <v>718</v>
      </c>
      <c r="D161" s="21" t="s">
        <v>165</v>
      </c>
      <c r="E161" s="22" t="s">
        <v>719</v>
      </c>
      <c r="F161" s="23" t="s">
        <v>127</v>
      </c>
      <c r="G161" s="1"/>
      <c r="H161" s="1"/>
      <c r="I161" s="1"/>
      <c r="J161" s="1"/>
      <c r="K161" s="1"/>
      <c r="L161" s="1"/>
      <c r="M161" s="11"/>
      <c r="N161" s="1"/>
      <c r="O161" s="1"/>
      <c r="P161" s="1"/>
      <c r="Q161" s="11"/>
      <c r="R161" s="1"/>
      <c r="S161" s="1"/>
      <c r="T161" s="1"/>
      <c r="U161" s="1"/>
      <c r="V161" s="1"/>
      <c r="W161" s="1"/>
      <c r="X161" s="1"/>
      <c r="Y161" s="1"/>
      <c r="Z161" s="1"/>
      <c r="AA161" s="11"/>
      <c r="AB161" s="11"/>
      <c r="AC161" s="1"/>
      <c r="AD161" s="1"/>
      <c r="AE161" s="11"/>
      <c r="AF161" s="11"/>
      <c r="AG161" s="1"/>
      <c r="AH161" s="11"/>
      <c r="AI161" s="11"/>
      <c r="AJ161" s="1"/>
      <c r="AK161" s="1"/>
      <c r="AL161" s="11"/>
      <c r="AM161" s="11"/>
      <c r="AN161" s="1"/>
      <c r="AO161" s="1"/>
      <c r="AP161" s="1"/>
    </row>
    <row x14ac:dyDescent="0.25" r="162" customHeight="1" ht="18.75">
      <c r="A162" s="19">
        <f>+LEN(E162)</f>
      </c>
      <c r="B162" s="20" t="s">
        <v>720</v>
      </c>
      <c r="C162" s="21" t="s">
        <v>721</v>
      </c>
      <c r="D162" s="21" t="s">
        <v>165</v>
      </c>
      <c r="E162" s="22" t="s">
        <v>722</v>
      </c>
      <c r="F162" s="23" t="s">
        <v>127</v>
      </c>
      <c r="G162" s="1"/>
      <c r="H162" s="1"/>
      <c r="I162" s="1"/>
      <c r="J162" s="1"/>
      <c r="K162" s="1"/>
      <c r="L162" s="1"/>
      <c r="M162" s="11"/>
      <c r="N162" s="1"/>
      <c r="O162" s="1"/>
      <c r="P162" s="1"/>
      <c r="Q162" s="11"/>
      <c r="R162" s="1"/>
      <c r="S162" s="1"/>
      <c r="T162" s="1"/>
      <c r="U162" s="1"/>
      <c r="V162" s="1"/>
      <c r="W162" s="1"/>
      <c r="X162" s="1"/>
      <c r="Y162" s="1"/>
      <c r="Z162" s="1"/>
      <c r="AA162" s="11"/>
      <c r="AB162" s="11"/>
      <c r="AC162" s="1"/>
      <c r="AD162" s="1"/>
      <c r="AE162" s="11"/>
      <c r="AF162" s="11"/>
      <c r="AG162" s="1"/>
      <c r="AH162" s="11"/>
      <c r="AI162" s="11"/>
      <c r="AJ162" s="1"/>
      <c r="AK162" s="1"/>
      <c r="AL162" s="11"/>
      <c r="AM162" s="11"/>
      <c r="AN162" s="1"/>
      <c r="AO162" s="1"/>
      <c r="AP162" s="1"/>
    </row>
    <row x14ac:dyDescent="0.25" r="163" customHeight="1" ht="18.75">
      <c r="A163" s="19">
        <f>+LEN(E163)</f>
      </c>
      <c r="B163" s="20" t="s">
        <v>723</v>
      </c>
      <c r="C163" s="21" t="s">
        <v>724</v>
      </c>
      <c r="D163" s="21" t="s">
        <v>165</v>
      </c>
      <c r="E163" s="22" t="s">
        <v>725</v>
      </c>
      <c r="F163" s="23" t="s">
        <v>127</v>
      </c>
      <c r="G163" s="1"/>
      <c r="H163" s="1"/>
      <c r="I163" s="1"/>
      <c r="J163" s="1"/>
      <c r="K163" s="1"/>
      <c r="L163" s="1"/>
      <c r="M163" s="11"/>
      <c r="N163" s="1"/>
      <c r="O163" s="1"/>
      <c r="P163" s="1"/>
      <c r="Q163" s="11"/>
      <c r="R163" s="1"/>
      <c r="S163" s="1"/>
      <c r="T163" s="1"/>
      <c r="U163" s="1"/>
      <c r="V163" s="1"/>
      <c r="W163" s="1"/>
      <c r="X163" s="1"/>
      <c r="Y163" s="1"/>
      <c r="Z163" s="1"/>
      <c r="AA163" s="11"/>
      <c r="AB163" s="11"/>
      <c r="AC163" s="1"/>
      <c r="AD163" s="1"/>
      <c r="AE163" s="11"/>
      <c r="AF163" s="11"/>
      <c r="AG163" s="1"/>
      <c r="AH163" s="11"/>
      <c r="AI163" s="11"/>
      <c r="AJ163" s="1"/>
      <c r="AK163" s="1"/>
      <c r="AL163" s="11"/>
      <c r="AM163" s="11"/>
      <c r="AN163" s="1"/>
      <c r="AO163" s="1"/>
      <c r="AP163" s="1"/>
    </row>
    <row x14ac:dyDescent="0.25" r="164" customHeight="1" ht="18.75">
      <c r="A164" s="19">
        <f>+LEN(E164)</f>
      </c>
      <c r="B164" s="20" t="s">
        <v>726</v>
      </c>
      <c r="C164" s="21" t="s">
        <v>727</v>
      </c>
      <c r="D164" s="21" t="s">
        <v>165</v>
      </c>
      <c r="E164" s="22" t="s">
        <v>728</v>
      </c>
      <c r="F164" s="23" t="s">
        <v>127</v>
      </c>
      <c r="G164" s="1"/>
      <c r="H164" s="1"/>
      <c r="I164" s="1"/>
      <c r="J164" s="1"/>
      <c r="K164" s="1"/>
      <c r="L164" s="1"/>
      <c r="M164" s="11"/>
      <c r="N164" s="1"/>
      <c r="O164" s="1"/>
      <c r="P164" s="1"/>
      <c r="Q164" s="11"/>
      <c r="R164" s="1"/>
      <c r="S164" s="1"/>
      <c r="T164" s="1"/>
      <c r="U164" s="1"/>
      <c r="V164" s="1"/>
      <c r="W164" s="1"/>
      <c r="X164" s="1"/>
      <c r="Y164" s="1"/>
      <c r="Z164" s="1"/>
      <c r="AA164" s="11"/>
      <c r="AB164" s="11"/>
      <c r="AC164" s="1"/>
      <c r="AD164" s="1"/>
      <c r="AE164" s="11"/>
      <c r="AF164" s="11"/>
      <c r="AG164" s="1"/>
      <c r="AH164" s="11"/>
      <c r="AI164" s="11"/>
      <c r="AJ164" s="1"/>
      <c r="AK164" s="1"/>
      <c r="AL164" s="11"/>
      <c r="AM164" s="11"/>
      <c r="AN164" s="1"/>
      <c r="AO164" s="1"/>
      <c r="AP164" s="1"/>
    </row>
    <row x14ac:dyDescent="0.25" r="165" customHeight="1" ht="18.75">
      <c r="A165" s="19">
        <f>+LEN(E165)</f>
      </c>
      <c r="B165" s="20" t="s">
        <v>729</v>
      </c>
      <c r="C165" s="21" t="s">
        <v>730</v>
      </c>
      <c r="D165" s="21" t="s">
        <v>137</v>
      </c>
      <c r="E165" s="22" t="s">
        <v>731</v>
      </c>
      <c r="F165" s="23" t="s">
        <v>127</v>
      </c>
      <c r="G165" s="1"/>
      <c r="H165" s="1"/>
      <c r="I165" s="1"/>
      <c r="J165" s="1"/>
      <c r="K165" s="1"/>
      <c r="L165" s="1"/>
      <c r="M165" s="11"/>
      <c r="N165" s="1"/>
      <c r="O165" s="1"/>
      <c r="P165" s="1"/>
      <c r="Q165" s="11"/>
      <c r="R165" s="1"/>
      <c r="S165" s="1"/>
      <c r="T165" s="1"/>
      <c r="U165" s="1"/>
      <c r="V165" s="1"/>
      <c r="W165" s="1"/>
      <c r="X165" s="1"/>
      <c r="Y165" s="1"/>
      <c r="Z165" s="1"/>
      <c r="AA165" s="11"/>
      <c r="AB165" s="11"/>
      <c r="AC165" s="1"/>
      <c r="AD165" s="1"/>
      <c r="AE165" s="11"/>
      <c r="AF165" s="11"/>
      <c r="AG165" s="1"/>
      <c r="AH165" s="11"/>
      <c r="AI165" s="11"/>
      <c r="AJ165" s="1"/>
      <c r="AK165" s="1"/>
      <c r="AL165" s="11"/>
      <c r="AM165" s="11"/>
      <c r="AN165" s="1"/>
      <c r="AO165" s="1"/>
      <c r="AP165" s="1"/>
    </row>
    <row x14ac:dyDescent="0.25" r="166" customHeight="1" ht="18.75">
      <c r="A166" s="19">
        <f>+LEN(E166)</f>
      </c>
      <c r="B166" s="20" t="s">
        <v>732</v>
      </c>
      <c r="C166" s="21" t="s">
        <v>733</v>
      </c>
      <c r="D166" s="21" t="s">
        <v>165</v>
      </c>
      <c r="E166" s="22" t="s">
        <v>734</v>
      </c>
      <c r="F166" s="23" t="s">
        <v>127</v>
      </c>
      <c r="G166" s="1"/>
      <c r="H166" s="1"/>
      <c r="I166" s="1"/>
      <c r="J166" s="1"/>
      <c r="K166" s="1"/>
      <c r="L166" s="1"/>
      <c r="M166" s="11"/>
      <c r="N166" s="1"/>
      <c r="O166" s="1"/>
      <c r="P166" s="1"/>
      <c r="Q166" s="11"/>
      <c r="R166" s="1"/>
      <c r="S166" s="1"/>
      <c r="T166" s="1"/>
      <c r="U166" s="1"/>
      <c r="V166" s="1"/>
      <c r="W166" s="1"/>
      <c r="X166" s="1"/>
      <c r="Y166" s="1"/>
      <c r="Z166" s="1"/>
      <c r="AA166" s="11"/>
      <c r="AB166" s="11"/>
      <c r="AC166" s="1"/>
      <c r="AD166" s="1"/>
      <c r="AE166" s="11"/>
      <c r="AF166" s="11"/>
      <c r="AG166" s="1"/>
      <c r="AH166" s="11"/>
      <c r="AI166" s="11"/>
      <c r="AJ166" s="1"/>
      <c r="AK166" s="1"/>
      <c r="AL166" s="11"/>
      <c r="AM166" s="11"/>
      <c r="AN166" s="1"/>
      <c r="AO166" s="1"/>
      <c r="AP166" s="1"/>
    </row>
    <row x14ac:dyDescent="0.25" r="167" customHeight="1" ht="18.75">
      <c r="A167" s="19">
        <f>+LEN(E167)</f>
      </c>
      <c r="B167" s="20" t="s">
        <v>735</v>
      </c>
      <c r="C167" s="21" t="s">
        <v>736</v>
      </c>
      <c r="D167" s="21" t="s">
        <v>165</v>
      </c>
      <c r="E167" s="22" t="s">
        <v>737</v>
      </c>
      <c r="F167" s="23" t="s">
        <v>127</v>
      </c>
      <c r="G167" s="1"/>
      <c r="H167" s="1"/>
      <c r="I167" s="1"/>
      <c r="J167" s="1"/>
      <c r="K167" s="1"/>
      <c r="L167" s="1"/>
      <c r="M167" s="11"/>
      <c r="N167" s="1"/>
      <c r="O167" s="1"/>
      <c r="P167" s="1"/>
      <c r="Q167" s="11"/>
      <c r="R167" s="1"/>
      <c r="S167" s="1"/>
      <c r="T167" s="1"/>
      <c r="U167" s="1"/>
      <c r="V167" s="1"/>
      <c r="W167" s="1"/>
      <c r="X167" s="1"/>
      <c r="Y167" s="1"/>
      <c r="Z167" s="1"/>
      <c r="AA167" s="11"/>
      <c r="AB167" s="11"/>
      <c r="AC167" s="1"/>
      <c r="AD167" s="1"/>
      <c r="AE167" s="11"/>
      <c r="AF167" s="11"/>
      <c r="AG167" s="1"/>
      <c r="AH167" s="11"/>
      <c r="AI167" s="11"/>
      <c r="AJ167" s="1"/>
      <c r="AK167" s="1"/>
      <c r="AL167" s="11"/>
      <c r="AM167" s="11"/>
      <c r="AN167" s="1"/>
      <c r="AO167" s="1"/>
      <c r="AP167" s="1"/>
    </row>
    <row x14ac:dyDescent="0.25" r="168" customHeight="1" ht="18.75">
      <c r="A168" s="19">
        <f>+LEN(E168)</f>
      </c>
      <c r="B168" s="20" t="s">
        <v>738</v>
      </c>
      <c r="C168" s="21" t="s">
        <v>739</v>
      </c>
      <c r="D168" s="21" t="s">
        <v>165</v>
      </c>
      <c r="E168" s="22" t="s">
        <v>740</v>
      </c>
      <c r="F168" s="23" t="s">
        <v>127</v>
      </c>
      <c r="G168" s="1"/>
      <c r="H168" s="1"/>
      <c r="I168" s="1"/>
      <c r="J168" s="1"/>
      <c r="K168" s="1"/>
      <c r="L168" s="1"/>
      <c r="M168" s="11"/>
      <c r="N168" s="1"/>
      <c r="O168" s="1"/>
      <c r="P168" s="1"/>
      <c r="Q168" s="11"/>
      <c r="R168" s="1"/>
      <c r="S168" s="1"/>
      <c r="T168" s="1"/>
      <c r="U168" s="1"/>
      <c r="V168" s="1"/>
      <c r="W168" s="1"/>
      <c r="X168" s="1"/>
      <c r="Y168" s="1"/>
      <c r="Z168" s="1"/>
      <c r="AA168" s="11"/>
      <c r="AB168" s="11"/>
      <c r="AC168" s="1"/>
      <c r="AD168" s="1"/>
      <c r="AE168" s="11"/>
      <c r="AF168" s="11"/>
      <c r="AG168" s="1"/>
      <c r="AH168" s="11"/>
      <c r="AI168" s="11"/>
      <c r="AJ168" s="1"/>
      <c r="AK168" s="1"/>
      <c r="AL168" s="11"/>
      <c r="AM168" s="11"/>
      <c r="AN168" s="1"/>
      <c r="AO168" s="1"/>
      <c r="AP168" s="1"/>
    </row>
    <row x14ac:dyDescent="0.25" r="169" customHeight="1" ht="18.75">
      <c r="A169" s="19">
        <f>+LEN(E169)</f>
      </c>
      <c r="B169" s="57" t="s">
        <v>741</v>
      </c>
      <c r="C169" s="58" t="s">
        <v>742</v>
      </c>
      <c r="D169" s="58" t="s">
        <v>165</v>
      </c>
      <c r="E169" s="59" t="s">
        <v>743</v>
      </c>
      <c r="F169" s="60" t="s">
        <v>127</v>
      </c>
      <c r="G169" s="1"/>
      <c r="H169" s="1"/>
      <c r="I169" s="1"/>
      <c r="J169" s="1"/>
      <c r="K169" s="1"/>
      <c r="L169" s="1"/>
      <c r="M169" s="11"/>
      <c r="N169" s="1"/>
      <c r="O169" s="1"/>
      <c r="P169" s="1"/>
      <c r="Q169" s="11"/>
      <c r="R169" s="1"/>
      <c r="S169" s="1"/>
      <c r="T169" s="1"/>
      <c r="U169" s="1"/>
      <c r="V169" s="1"/>
      <c r="W169" s="1"/>
      <c r="X169" s="1"/>
      <c r="Y169" s="1"/>
      <c r="Z169" s="1"/>
      <c r="AA169" s="11"/>
      <c r="AB169" s="11"/>
      <c r="AC169" s="1"/>
      <c r="AD169" s="1"/>
      <c r="AE169" s="11"/>
      <c r="AF169" s="11"/>
      <c r="AG169" s="1"/>
      <c r="AH169" s="11"/>
      <c r="AI169" s="11"/>
      <c r="AJ169" s="1"/>
      <c r="AK169" s="1"/>
      <c r="AL169" s="11"/>
      <c r="AM169" s="11"/>
      <c r="AN169" s="1"/>
      <c r="AO169" s="1"/>
      <c r="AP169" s="1"/>
    </row>
    <row x14ac:dyDescent="0.25" r="170" customHeight="1" ht="18.75">
      <c r="A170" s="19">
        <f>+LEN(E170)</f>
      </c>
      <c r="B170" s="57" t="s">
        <v>744</v>
      </c>
      <c r="C170" s="58" t="s">
        <v>745</v>
      </c>
      <c r="D170" s="58" t="s">
        <v>165</v>
      </c>
      <c r="E170" s="59" t="s">
        <v>746</v>
      </c>
      <c r="F170" s="60" t="s">
        <v>127</v>
      </c>
      <c r="G170" s="1"/>
      <c r="H170" s="1"/>
      <c r="I170" s="1"/>
      <c r="J170" s="1"/>
      <c r="K170" s="1"/>
      <c r="L170" s="1"/>
      <c r="M170" s="11"/>
      <c r="N170" s="1"/>
      <c r="O170" s="1"/>
      <c r="P170" s="1"/>
      <c r="Q170" s="11"/>
      <c r="R170" s="1"/>
      <c r="S170" s="1"/>
      <c r="T170" s="1"/>
      <c r="U170" s="1"/>
      <c r="V170" s="1"/>
      <c r="W170" s="1"/>
      <c r="X170" s="1"/>
      <c r="Y170" s="1"/>
      <c r="Z170" s="1"/>
      <c r="AA170" s="11"/>
      <c r="AB170" s="11"/>
      <c r="AC170" s="1"/>
      <c r="AD170" s="1"/>
      <c r="AE170" s="11"/>
      <c r="AF170" s="11"/>
      <c r="AG170" s="1"/>
      <c r="AH170" s="11"/>
      <c r="AI170" s="11"/>
      <c r="AJ170" s="1"/>
      <c r="AK170" s="1"/>
      <c r="AL170" s="11"/>
      <c r="AM170" s="11"/>
      <c r="AN170" s="1"/>
      <c r="AO170" s="1"/>
      <c r="AP170" s="1"/>
    </row>
    <row x14ac:dyDescent="0.25" r="171" customHeight="1" ht="18.75">
      <c r="A171" s="19">
        <f>+LEN(E171)</f>
      </c>
      <c r="B171" s="57" t="s">
        <v>747</v>
      </c>
      <c r="C171" s="58" t="s">
        <v>748</v>
      </c>
      <c r="D171" s="58" t="s">
        <v>165</v>
      </c>
      <c r="E171" s="59" t="s">
        <v>749</v>
      </c>
      <c r="F171" s="60" t="s">
        <v>127</v>
      </c>
      <c r="G171" s="1"/>
      <c r="H171" s="1"/>
      <c r="I171" s="1"/>
      <c r="J171" s="1"/>
      <c r="K171" s="1"/>
      <c r="L171" s="1"/>
      <c r="M171" s="11"/>
      <c r="N171" s="1"/>
      <c r="O171" s="1"/>
      <c r="P171" s="1"/>
      <c r="Q171" s="11"/>
      <c r="R171" s="1"/>
      <c r="S171" s="1"/>
      <c r="T171" s="1"/>
      <c r="U171" s="1"/>
      <c r="V171" s="1"/>
      <c r="W171" s="1"/>
      <c r="X171" s="1"/>
      <c r="Y171" s="1"/>
      <c r="Z171" s="1"/>
      <c r="AA171" s="11"/>
      <c r="AB171" s="11"/>
      <c r="AC171" s="1"/>
      <c r="AD171" s="1"/>
      <c r="AE171" s="11"/>
      <c r="AF171" s="11"/>
      <c r="AG171" s="1"/>
      <c r="AH171" s="11"/>
      <c r="AI171" s="11"/>
      <c r="AJ171" s="1"/>
      <c r="AK171" s="1"/>
      <c r="AL171" s="11"/>
      <c r="AM171" s="11"/>
      <c r="AN171" s="1"/>
      <c r="AO171" s="1"/>
      <c r="AP171" s="1"/>
    </row>
    <row x14ac:dyDescent="0.25" r="172" customHeight="1" ht="18.75">
      <c r="A172" s="19">
        <f>+LEN(E172)</f>
      </c>
      <c r="B172" s="57" t="s">
        <v>750</v>
      </c>
      <c r="C172" s="58" t="s">
        <v>751</v>
      </c>
      <c r="D172" s="58" t="s">
        <v>137</v>
      </c>
      <c r="E172" s="59" t="s">
        <v>752</v>
      </c>
      <c r="F172" s="60" t="s">
        <v>127</v>
      </c>
      <c r="G172" s="1"/>
      <c r="H172" s="1"/>
      <c r="I172" s="1"/>
      <c r="J172" s="1"/>
      <c r="K172" s="1"/>
      <c r="L172" s="1"/>
      <c r="M172" s="11"/>
      <c r="N172" s="1"/>
      <c r="O172" s="1"/>
      <c r="P172" s="1"/>
      <c r="Q172" s="11"/>
      <c r="R172" s="1"/>
      <c r="S172" s="1"/>
      <c r="T172" s="1"/>
      <c r="U172" s="1"/>
      <c r="V172" s="1"/>
      <c r="W172" s="1"/>
      <c r="X172" s="1"/>
      <c r="Y172" s="1"/>
      <c r="Z172" s="1"/>
      <c r="AA172" s="11"/>
      <c r="AB172" s="11"/>
      <c r="AC172" s="1"/>
      <c r="AD172" s="1"/>
      <c r="AE172" s="11"/>
      <c r="AF172" s="11"/>
      <c r="AG172" s="1"/>
      <c r="AH172" s="11"/>
      <c r="AI172" s="11"/>
      <c r="AJ172" s="1"/>
      <c r="AK172" s="1"/>
      <c r="AL172" s="11"/>
      <c r="AM172" s="11"/>
      <c r="AN172" s="1"/>
      <c r="AO172" s="1"/>
      <c r="AP172" s="1"/>
    </row>
    <row x14ac:dyDescent="0.25" r="173" customHeight="1" ht="18.75">
      <c r="A173" s="19">
        <f>+LEN(E173)</f>
      </c>
      <c r="B173" s="57" t="s">
        <v>753</v>
      </c>
      <c r="C173" s="58" t="s">
        <v>754</v>
      </c>
      <c r="D173" s="58" t="s">
        <v>137</v>
      </c>
      <c r="E173" s="59" t="s">
        <v>755</v>
      </c>
      <c r="F173" s="60" t="s">
        <v>127</v>
      </c>
      <c r="G173" s="1"/>
      <c r="H173" s="1"/>
      <c r="I173" s="1"/>
      <c r="J173" s="1"/>
      <c r="K173" s="1"/>
      <c r="L173" s="1"/>
      <c r="M173" s="11"/>
      <c r="N173" s="1"/>
      <c r="O173" s="1"/>
      <c r="P173" s="1"/>
      <c r="Q173" s="11"/>
      <c r="R173" s="1"/>
      <c r="S173" s="1"/>
      <c r="T173" s="1"/>
      <c r="U173" s="1"/>
      <c r="V173" s="1"/>
      <c r="W173" s="1"/>
      <c r="X173" s="1"/>
      <c r="Y173" s="1"/>
      <c r="Z173" s="1"/>
      <c r="AA173" s="11"/>
      <c r="AB173" s="11"/>
      <c r="AC173" s="1"/>
      <c r="AD173" s="1"/>
      <c r="AE173" s="11"/>
      <c r="AF173" s="11"/>
      <c r="AG173" s="1"/>
      <c r="AH173" s="11"/>
      <c r="AI173" s="11"/>
      <c r="AJ173" s="1"/>
      <c r="AK173" s="1"/>
      <c r="AL173" s="11"/>
      <c r="AM173" s="11"/>
      <c r="AN173" s="1"/>
      <c r="AO173" s="1"/>
      <c r="AP173" s="1"/>
    </row>
    <row x14ac:dyDescent="0.25" r="174" customHeight="1" ht="18.75">
      <c r="A174" s="19">
        <f>+LEN(E174)</f>
      </c>
      <c r="B174" s="57" t="s">
        <v>756</v>
      </c>
      <c r="C174" s="21" t="s">
        <v>757</v>
      </c>
      <c r="D174" s="21" t="s">
        <v>165</v>
      </c>
      <c r="E174" s="22" t="s">
        <v>758</v>
      </c>
      <c r="F174" s="23" t="s">
        <v>127</v>
      </c>
      <c r="G174" s="1"/>
      <c r="H174" s="1"/>
      <c r="I174" s="1"/>
      <c r="J174" s="1"/>
      <c r="K174" s="1"/>
      <c r="L174" s="1"/>
      <c r="M174" s="11"/>
      <c r="N174" s="1"/>
      <c r="O174" s="1"/>
      <c r="P174" s="1"/>
      <c r="Q174" s="11"/>
      <c r="R174" s="1"/>
      <c r="S174" s="1"/>
      <c r="T174" s="1"/>
      <c r="U174" s="1"/>
      <c r="V174" s="1"/>
      <c r="W174" s="1"/>
      <c r="X174" s="1"/>
      <c r="Y174" s="1"/>
      <c r="Z174" s="1"/>
      <c r="AA174" s="11"/>
      <c r="AB174" s="11"/>
      <c r="AC174" s="1"/>
      <c r="AD174" s="1"/>
      <c r="AE174" s="11"/>
      <c r="AF174" s="11"/>
      <c r="AG174" s="1"/>
      <c r="AH174" s="11"/>
      <c r="AI174" s="11"/>
      <c r="AJ174" s="1"/>
      <c r="AK174" s="1"/>
      <c r="AL174" s="11"/>
      <c r="AM174" s="11"/>
      <c r="AN174" s="1"/>
      <c r="AO174" s="1"/>
      <c r="AP174" s="1"/>
    </row>
    <row x14ac:dyDescent="0.25" r="175" customHeight="1" ht="18.75">
      <c r="A175" s="19">
        <f>+LEN(E175)</f>
      </c>
      <c r="B175" s="57" t="s">
        <v>759</v>
      </c>
      <c r="C175" s="58" t="s">
        <v>760</v>
      </c>
      <c r="D175" s="58" t="s">
        <v>137</v>
      </c>
      <c r="E175" s="59" t="s">
        <v>761</v>
      </c>
      <c r="F175" s="60" t="s">
        <v>127</v>
      </c>
      <c r="G175" s="1"/>
      <c r="H175" s="1"/>
      <c r="I175" s="1"/>
      <c r="J175" s="1"/>
      <c r="K175" s="1"/>
      <c r="L175" s="1"/>
      <c r="M175" s="11"/>
      <c r="N175" s="1"/>
      <c r="O175" s="1"/>
      <c r="P175" s="1"/>
      <c r="Q175" s="11"/>
      <c r="R175" s="1"/>
      <c r="S175" s="1"/>
      <c r="T175" s="1"/>
      <c r="U175" s="1"/>
      <c r="V175" s="1"/>
      <c r="W175" s="1"/>
      <c r="X175" s="1"/>
      <c r="Y175" s="1"/>
      <c r="Z175" s="1"/>
      <c r="AA175" s="11"/>
      <c r="AB175" s="11"/>
      <c r="AC175" s="1"/>
      <c r="AD175" s="1"/>
      <c r="AE175" s="11"/>
      <c r="AF175" s="11"/>
      <c r="AG175" s="1"/>
      <c r="AH175" s="11"/>
      <c r="AI175" s="11"/>
      <c r="AJ175" s="1"/>
      <c r="AK175" s="1"/>
      <c r="AL175" s="11"/>
      <c r="AM175" s="11"/>
      <c r="AN175" s="1"/>
      <c r="AO175" s="1"/>
      <c r="AP175" s="1"/>
    </row>
    <row x14ac:dyDescent="0.25" r="176" customHeight="1" ht="18.75">
      <c r="A176" s="19">
        <f>+LEN(E176)</f>
      </c>
      <c r="B176" s="57" t="s">
        <v>762</v>
      </c>
      <c r="C176" s="58" t="s">
        <v>763</v>
      </c>
      <c r="D176" s="58" t="s">
        <v>137</v>
      </c>
      <c r="E176" s="59" t="s">
        <v>764</v>
      </c>
      <c r="F176" s="60" t="s">
        <v>127</v>
      </c>
      <c r="G176" s="1"/>
      <c r="H176" s="1"/>
      <c r="I176" s="1"/>
      <c r="J176" s="1"/>
      <c r="K176" s="1"/>
      <c r="L176" s="1"/>
      <c r="M176" s="11"/>
      <c r="N176" s="1"/>
      <c r="O176" s="1"/>
      <c r="P176" s="1"/>
      <c r="Q176" s="11"/>
      <c r="R176" s="1"/>
      <c r="S176" s="1"/>
      <c r="T176" s="1"/>
      <c r="U176" s="1"/>
      <c r="V176" s="1"/>
      <c r="W176" s="1"/>
      <c r="X176" s="1"/>
      <c r="Y176" s="1"/>
      <c r="Z176" s="1"/>
      <c r="AA176" s="11"/>
      <c r="AB176" s="11"/>
      <c r="AC176" s="1"/>
      <c r="AD176" s="1"/>
      <c r="AE176" s="11"/>
      <c r="AF176" s="11"/>
      <c r="AG176" s="1"/>
      <c r="AH176" s="11"/>
      <c r="AI176" s="11"/>
      <c r="AJ176" s="1"/>
      <c r="AK176" s="1"/>
      <c r="AL176" s="11"/>
      <c r="AM176" s="11"/>
      <c r="AN176" s="1"/>
      <c r="AO176" s="1"/>
      <c r="AP176" s="1"/>
    </row>
    <row x14ac:dyDescent="0.25" r="177" customHeight="1" ht="18.75">
      <c r="A177" s="19">
        <f>+LEN(E177)</f>
      </c>
      <c r="B177" s="57" t="s">
        <v>765</v>
      </c>
      <c r="C177" s="58" t="s">
        <v>766</v>
      </c>
      <c r="D177" s="58" t="s">
        <v>165</v>
      </c>
      <c r="E177" s="59" t="s">
        <v>767</v>
      </c>
      <c r="F177" s="60" t="s">
        <v>127</v>
      </c>
      <c r="G177" s="1"/>
      <c r="H177" s="1"/>
      <c r="I177" s="1"/>
      <c r="J177" s="1"/>
      <c r="K177" s="1"/>
      <c r="L177" s="1"/>
      <c r="M177" s="11"/>
      <c r="N177" s="1"/>
      <c r="O177" s="1"/>
      <c r="P177" s="1"/>
      <c r="Q177" s="11"/>
      <c r="R177" s="1"/>
      <c r="S177" s="1"/>
      <c r="T177" s="1"/>
      <c r="U177" s="1"/>
      <c r="V177" s="1"/>
      <c r="W177" s="1"/>
      <c r="X177" s="1"/>
      <c r="Y177" s="1"/>
      <c r="Z177" s="1"/>
      <c r="AA177" s="11"/>
      <c r="AB177" s="11"/>
      <c r="AC177" s="1"/>
      <c r="AD177" s="1"/>
      <c r="AE177" s="11"/>
      <c r="AF177" s="11"/>
      <c r="AG177" s="1"/>
      <c r="AH177" s="11"/>
      <c r="AI177" s="11"/>
      <c r="AJ177" s="1"/>
      <c r="AK177" s="1"/>
      <c r="AL177" s="11"/>
      <c r="AM177" s="11"/>
      <c r="AN177" s="1"/>
      <c r="AO177" s="1"/>
      <c r="AP177" s="1"/>
    </row>
    <row x14ac:dyDescent="0.25" r="178" customHeight="1" ht="18.75">
      <c r="A178" s="19">
        <f>+LEN(E178)</f>
      </c>
      <c r="B178" s="57" t="s">
        <v>768</v>
      </c>
      <c r="C178" s="58" t="s">
        <v>769</v>
      </c>
      <c r="D178" s="58" t="s">
        <v>165</v>
      </c>
      <c r="E178" s="59" t="s">
        <v>770</v>
      </c>
      <c r="F178" s="60" t="s">
        <v>127</v>
      </c>
      <c r="G178" s="1"/>
      <c r="H178" s="1"/>
      <c r="I178" s="1"/>
      <c r="J178" s="1"/>
      <c r="K178" s="1"/>
      <c r="L178" s="1"/>
      <c r="M178" s="11"/>
      <c r="N178" s="1"/>
      <c r="O178" s="1"/>
      <c r="P178" s="1"/>
      <c r="Q178" s="11"/>
      <c r="R178" s="1"/>
      <c r="S178" s="1"/>
      <c r="T178" s="1"/>
      <c r="U178" s="1"/>
      <c r="V178" s="1"/>
      <c r="W178" s="1"/>
      <c r="X178" s="1"/>
      <c r="Y178" s="1"/>
      <c r="Z178" s="1"/>
      <c r="AA178" s="11"/>
      <c r="AB178" s="11"/>
      <c r="AC178" s="1"/>
      <c r="AD178" s="1"/>
      <c r="AE178" s="11"/>
      <c r="AF178" s="11"/>
      <c r="AG178" s="1"/>
      <c r="AH178" s="11"/>
      <c r="AI178" s="11"/>
      <c r="AJ178" s="1"/>
      <c r="AK178" s="1"/>
      <c r="AL178" s="11"/>
      <c r="AM178" s="11"/>
      <c r="AN178" s="1"/>
      <c r="AO178" s="1"/>
      <c r="AP178" s="1"/>
    </row>
    <row x14ac:dyDescent="0.25" r="179" customHeight="1" ht="18.75">
      <c r="A179" s="19">
        <f>+LEN(E179)</f>
      </c>
      <c r="B179" s="57" t="s">
        <v>771</v>
      </c>
      <c r="C179" s="58" t="s">
        <v>772</v>
      </c>
      <c r="D179" s="58" t="s">
        <v>137</v>
      </c>
      <c r="E179" s="59" t="s">
        <v>773</v>
      </c>
      <c r="F179" s="60" t="s">
        <v>127</v>
      </c>
      <c r="G179" s="1"/>
      <c r="H179" s="1"/>
      <c r="I179" s="1"/>
      <c r="J179" s="1"/>
      <c r="K179" s="1"/>
      <c r="L179" s="1"/>
      <c r="M179" s="11"/>
      <c r="N179" s="1"/>
      <c r="O179" s="1"/>
      <c r="P179" s="1"/>
      <c r="Q179" s="11"/>
      <c r="R179" s="1"/>
      <c r="S179" s="1"/>
      <c r="T179" s="1"/>
      <c r="U179" s="1"/>
      <c r="V179" s="1"/>
      <c r="W179" s="1"/>
      <c r="X179" s="1"/>
      <c r="Y179" s="1"/>
      <c r="Z179" s="1"/>
      <c r="AA179" s="11"/>
      <c r="AB179" s="11"/>
      <c r="AC179" s="1"/>
      <c r="AD179" s="1"/>
      <c r="AE179" s="11"/>
      <c r="AF179" s="11"/>
      <c r="AG179" s="1"/>
      <c r="AH179" s="11"/>
      <c r="AI179" s="11"/>
      <c r="AJ179" s="1"/>
      <c r="AK179" s="1"/>
      <c r="AL179" s="11"/>
      <c r="AM179" s="11"/>
      <c r="AN179" s="1"/>
      <c r="AO179" s="1"/>
      <c r="AP179" s="1"/>
    </row>
    <row x14ac:dyDescent="0.25" r="180" customHeight="1" ht="18.75">
      <c r="A180" s="19">
        <f>+LEN(E180)</f>
      </c>
      <c r="B180" s="57" t="s">
        <v>774</v>
      </c>
      <c r="C180" s="58" t="s">
        <v>775</v>
      </c>
      <c r="D180" s="58" t="s">
        <v>137</v>
      </c>
      <c r="E180" s="59" t="s">
        <v>776</v>
      </c>
      <c r="F180" s="60" t="s">
        <v>127</v>
      </c>
      <c r="G180" s="1"/>
      <c r="H180" s="1"/>
      <c r="I180" s="1"/>
      <c r="J180" s="1"/>
      <c r="K180" s="1"/>
      <c r="L180" s="1"/>
      <c r="M180" s="11"/>
      <c r="N180" s="1"/>
      <c r="O180" s="1"/>
      <c r="P180" s="1"/>
      <c r="Q180" s="11"/>
      <c r="R180" s="1"/>
      <c r="S180" s="1"/>
      <c r="T180" s="1"/>
      <c r="U180" s="1"/>
      <c r="V180" s="1"/>
      <c r="W180" s="1"/>
      <c r="X180" s="1"/>
      <c r="Y180" s="1"/>
      <c r="Z180" s="1"/>
      <c r="AA180" s="11"/>
      <c r="AB180" s="11"/>
      <c r="AC180" s="1"/>
      <c r="AD180" s="1"/>
      <c r="AE180" s="11"/>
      <c r="AF180" s="11"/>
      <c r="AG180" s="1"/>
      <c r="AH180" s="11"/>
      <c r="AI180" s="11"/>
      <c r="AJ180" s="1"/>
      <c r="AK180" s="1"/>
      <c r="AL180" s="11"/>
      <c r="AM180" s="11"/>
      <c r="AN180" s="1"/>
      <c r="AO180" s="1"/>
      <c r="AP180" s="1"/>
    </row>
    <row x14ac:dyDescent="0.25" r="181" customHeight="1" ht="18.75">
      <c r="A181" s="19">
        <f>+LEN(E181)</f>
      </c>
      <c r="B181" s="57" t="s">
        <v>777</v>
      </c>
      <c r="C181" s="58" t="s">
        <v>778</v>
      </c>
      <c r="D181" s="58" t="s">
        <v>165</v>
      </c>
      <c r="E181" s="59" t="s">
        <v>779</v>
      </c>
      <c r="F181" s="60" t="s">
        <v>127</v>
      </c>
      <c r="G181" s="1"/>
      <c r="H181" s="1"/>
      <c r="I181" s="1"/>
      <c r="J181" s="1"/>
      <c r="K181" s="1"/>
      <c r="L181" s="1"/>
      <c r="M181" s="11"/>
      <c r="N181" s="1"/>
      <c r="O181" s="1"/>
      <c r="P181" s="1"/>
      <c r="Q181" s="11"/>
      <c r="R181" s="1"/>
      <c r="S181" s="1"/>
      <c r="T181" s="1"/>
      <c r="U181" s="1"/>
      <c r="V181" s="1"/>
      <c r="W181" s="1"/>
      <c r="X181" s="1"/>
      <c r="Y181" s="1"/>
      <c r="Z181" s="1"/>
      <c r="AA181" s="11"/>
      <c r="AB181" s="11"/>
      <c r="AC181" s="1"/>
      <c r="AD181" s="1"/>
      <c r="AE181" s="11"/>
      <c r="AF181" s="11"/>
      <c r="AG181" s="1"/>
      <c r="AH181" s="11"/>
      <c r="AI181" s="11"/>
      <c r="AJ181" s="1"/>
      <c r="AK181" s="1"/>
      <c r="AL181" s="11"/>
      <c r="AM181" s="11"/>
      <c r="AN181" s="1"/>
      <c r="AO181" s="1"/>
      <c r="AP181" s="1"/>
    </row>
    <row x14ac:dyDescent="0.25" r="182" customHeight="1" ht="18.75">
      <c r="A182" s="19">
        <f>+LEN(E182)</f>
      </c>
      <c r="B182" s="20" t="s">
        <v>780</v>
      </c>
      <c r="C182" s="21" t="s">
        <v>781</v>
      </c>
      <c r="D182" s="21" t="s">
        <v>165</v>
      </c>
      <c r="E182" s="22" t="s">
        <v>782</v>
      </c>
      <c r="F182" s="23" t="s">
        <v>127</v>
      </c>
      <c r="G182" s="1"/>
      <c r="H182" s="1"/>
      <c r="I182" s="1"/>
      <c r="J182" s="1"/>
      <c r="K182" s="1"/>
      <c r="L182" s="1"/>
      <c r="M182" s="11"/>
      <c r="N182" s="1"/>
      <c r="O182" s="1"/>
      <c r="P182" s="1"/>
      <c r="Q182" s="11"/>
      <c r="R182" s="1"/>
      <c r="S182" s="1"/>
      <c r="T182" s="1"/>
      <c r="U182" s="1"/>
      <c r="V182" s="1"/>
      <c r="W182" s="1"/>
      <c r="X182" s="1"/>
      <c r="Y182" s="1"/>
      <c r="Z182" s="1"/>
      <c r="AA182" s="11"/>
      <c r="AB182" s="11"/>
      <c r="AC182" s="1"/>
      <c r="AD182" s="1"/>
      <c r="AE182" s="11"/>
      <c r="AF182" s="11"/>
      <c r="AG182" s="1"/>
      <c r="AH182" s="11"/>
      <c r="AI182" s="11"/>
      <c r="AJ182" s="1"/>
      <c r="AK182" s="1"/>
      <c r="AL182" s="11"/>
      <c r="AM182" s="11"/>
      <c r="AN182" s="1"/>
      <c r="AO182" s="1"/>
      <c r="AP182" s="1"/>
    </row>
    <row x14ac:dyDescent="0.25" r="183" customHeight="1" ht="18.75">
      <c r="A183" s="19">
        <f>+LEN(E183)</f>
      </c>
      <c r="B183" s="20" t="s">
        <v>783</v>
      </c>
      <c r="C183" s="21" t="s">
        <v>784</v>
      </c>
      <c r="D183" s="21" t="s">
        <v>165</v>
      </c>
      <c r="E183" s="22" t="s">
        <v>785</v>
      </c>
      <c r="F183" s="23" t="s">
        <v>127</v>
      </c>
      <c r="G183" s="1"/>
      <c r="H183" s="1"/>
      <c r="I183" s="1"/>
      <c r="J183" s="1"/>
      <c r="K183" s="1"/>
      <c r="L183" s="1"/>
      <c r="M183" s="11"/>
      <c r="N183" s="1"/>
      <c r="O183" s="1"/>
      <c r="P183" s="1"/>
      <c r="Q183" s="11"/>
      <c r="R183" s="1"/>
      <c r="S183" s="1"/>
      <c r="T183" s="1"/>
      <c r="U183" s="1"/>
      <c r="V183" s="1"/>
      <c r="W183" s="1"/>
      <c r="X183" s="1"/>
      <c r="Y183" s="1"/>
      <c r="Z183" s="1"/>
      <c r="AA183" s="11"/>
      <c r="AB183" s="11"/>
      <c r="AC183" s="1"/>
      <c r="AD183" s="1"/>
      <c r="AE183" s="11"/>
      <c r="AF183" s="11"/>
      <c r="AG183" s="1"/>
      <c r="AH183" s="11"/>
      <c r="AI183" s="11"/>
      <c r="AJ183" s="1"/>
      <c r="AK183" s="1"/>
      <c r="AL183" s="11"/>
      <c r="AM183" s="11"/>
      <c r="AN183" s="1"/>
      <c r="AO183" s="1"/>
      <c r="AP183" s="1"/>
    </row>
    <row x14ac:dyDescent="0.25" r="184" customHeight="1" ht="18.75">
      <c r="A184" s="19">
        <f>+LEN(E184)</f>
      </c>
      <c r="B184" s="57" t="s">
        <v>744</v>
      </c>
      <c r="C184" s="63" t="s">
        <v>786</v>
      </c>
      <c r="D184" s="58" t="s">
        <v>165</v>
      </c>
      <c r="E184" s="59" t="s">
        <v>746</v>
      </c>
      <c r="F184" s="60" t="s">
        <v>127</v>
      </c>
      <c r="G184" s="1"/>
      <c r="H184" s="1"/>
      <c r="I184" s="1"/>
      <c r="J184" s="1"/>
      <c r="K184" s="1"/>
      <c r="L184" s="1"/>
      <c r="M184" s="11"/>
      <c r="N184" s="1"/>
      <c r="O184" s="1"/>
      <c r="P184" s="1"/>
      <c r="Q184" s="11"/>
      <c r="R184" s="1"/>
      <c r="S184" s="1"/>
      <c r="T184" s="1"/>
      <c r="U184" s="1"/>
      <c r="V184" s="1"/>
      <c r="W184" s="1"/>
      <c r="X184" s="1"/>
      <c r="Y184" s="1"/>
      <c r="Z184" s="1"/>
      <c r="AA184" s="11"/>
      <c r="AB184" s="11"/>
      <c r="AC184" s="1"/>
      <c r="AD184" s="1"/>
      <c r="AE184" s="11"/>
      <c r="AF184" s="11"/>
      <c r="AG184" s="1"/>
      <c r="AH184" s="11"/>
      <c r="AI184" s="11"/>
      <c r="AJ184" s="1"/>
      <c r="AK184" s="1"/>
      <c r="AL184" s="11"/>
      <c r="AM184" s="11"/>
      <c r="AN184" s="1"/>
      <c r="AO184" s="1"/>
      <c r="AP184" s="1"/>
    </row>
    <row x14ac:dyDescent="0.25" r="185" customHeight="1" ht="18.75">
      <c r="A185" s="19">
        <f>+LEN(E185)</f>
      </c>
      <c r="B185" s="57" t="s">
        <v>787</v>
      </c>
      <c r="C185" s="58" t="s">
        <v>788</v>
      </c>
      <c r="D185" s="58" t="s">
        <v>165</v>
      </c>
      <c r="E185" s="59" t="s">
        <v>789</v>
      </c>
      <c r="F185" s="60" t="s">
        <v>127</v>
      </c>
      <c r="G185" s="1"/>
      <c r="H185" s="1"/>
      <c r="I185" s="1"/>
      <c r="J185" s="1"/>
      <c r="K185" s="1"/>
      <c r="L185" s="1"/>
      <c r="M185" s="11"/>
      <c r="N185" s="1"/>
      <c r="O185" s="1"/>
      <c r="P185" s="1"/>
      <c r="Q185" s="11"/>
      <c r="R185" s="1"/>
      <c r="S185" s="1"/>
      <c r="T185" s="1"/>
      <c r="U185" s="1"/>
      <c r="V185" s="1"/>
      <c r="W185" s="1"/>
      <c r="X185" s="1"/>
      <c r="Y185" s="1"/>
      <c r="Z185" s="1"/>
      <c r="AA185" s="11"/>
      <c r="AB185" s="11"/>
      <c r="AC185" s="1"/>
      <c r="AD185" s="1"/>
      <c r="AE185" s="11"/>
      <c r="AF185" s="11"/>
      <c r="AG185" s="1"/>
      <c r="AH185" s="11"/>
      <c r="AI185" s="11"/>
      <c r="AJ185" s="1"/>
      <c r="AK185" s="1"/>
      <c r="AL185" s="11"/>
      <c r="AM185" s="11"/>
      <c r="AN185" s="1"/>
      <c r="AO185" s="1"/>
      <c r="AP185" s="1"/>
    </row>
    <row x14ac:dyDescent="0.25" r="186" customHeight="1" ht="18.75">
      <c r="A186" s="19">
        <f>+LEN(E186)</f>
      </c>
      <c r="B186" s="57" t="s">
        <v>790</v>
      </c>
      <c r="C186" s="58" t="s">
        <v>791</v>
      </c>
      <c r="D186" s="58" t="s">
        <v>137</v>
      </c>
      <c r="E186" s="59" t="s">
        <v>792</v>
      </c>
      <c r="F186" s="60" t="s">
        <v>127</v>
      </c>
      <c r="G186" s="1"/>
      <c r="H186" s="1"/>
      <c r="I186" s="1"/>
      <c r="J186" s="1"/>
      <c r="K186" s="1"/>
      <c r="L186" s="1"/>
      <c r="M186" s="11"/>
      <c r="N186" s="1"/>
      <c r="O186" s="1"/>
      <c r="P186" s="1"/>
      <c r="Q186" s="11"/>
      <c r="R186" s="1"/>
      <c r="S186" s="1"/>
      <c r="T186" s="1"/>
      <c r="U186" s="1"/>
      <c r="V186" s="1"/>
      <c r="W186" s="1"/>
      <c r="X186" s="1"/>
      <c r="Y186" s="1"/>
      <c r="Z186" s="1"/>
      <c r="AA186" s="11"/>
      <c r="AB186" s="11"/>
      <c r="AC186" s="1"/>
      <c r="AD186" s="1"/>
      <c r="AE186" s="11"/>
      <c r="AF186" s="11"/>
      <c r="AG186" s="1"/>
      <c r="AH186" s="11"/>
      <c r="AI186" s="11"/>
      <c r="AJ186" s="1"/>
      <c r="AK186" s="1"/>
      <c r="AL186" s="11"/>
      <c r="AM186" s="11"/>
      <c r="AN186" s="1"/>
      <c r="AO186" s="1"/>
      <c r="AP186" s="1"/>
    </row>
    <row x14ac:dyDescent="0.25" r="187" customHeight="1" ht="18.75">
      <c r="A187" s="19">
        <f>+LEN(E187)</f>
      </c>
      <c r="B187" s="57" t="s">
        <v>793</v>
      </c>
      <c r="C187" s="58" t="s">
        <v>794</v>
      </c>
      <c r="D187" s="58" t="s">
        <v>137</v>
      </c>
      <c r="E187" s="59" t="s">
        <v>795</v>
      </c>
      <c r="F187" s="60" t="s">
        <v>127</v>
      </c>
      <c r="G187" s="1"/>
      <c r="H187" s="1"/>
      <c r="I187" s="1"/>
      <c r="J187" s="1"/>
      <c r="K187" s="1"/>
      <c r="L187" s="1"/>
      <c r="M187" s="11"/>
      <c r="N187" s="1"/>
      <c r="O187" s="1"/>
      <c r="P187" s="1"/>
      <c r="Q187" s="11"/>
      <c r="R187" s="1"/>
      <c r="S187" s="1"/>
      <c r="T187" s="1"/>
      <c r="U187" s="1"/>
      <c r="V187" s="1"/>
      <c r="W187" s="1"/>
      <c r="X187" s="1"/>
      <c r="Y187" s="1"/>
      <c r="Z187" s="1"/>
      <c r="AA187" s="11"/>
      <c r="AB187" s="11"/>
      <c r="AC187" s="1"/>
      <c r="AD187" s="1"/>
      <c r="AE187" s="11"/>
      <c r="AF187" s="11"/>
      <c r="AG187" s="1"/>
      <c r="AH187" s="11"/>
      <c r="AI187" s="11"/>
      <c r="AJ187" s="1"/>
      <c r="AK187" s="1"/>
      <c r="AL187" s="11"/>
      <c r="AM187" s="11"/>
      <c r="AN187" s="1"/>
      <c r="AO187" s="1"/>
      <c r="AP187" s="1"/>
    </row>
    <row x14ac:dyDescent="0.25" r="188" customHeight="1" ht="18.75">
      <c r="A188" s="19">
        <f>+LEN(E188)</f>
      </c>
      <c r="B188" s="57" t="s">
        <v>796</v>
      </c>
      <c r="C188" s="58" t="s">
        <v>797</v>
      </c>
      <c r="D188" s="58" t="s">
        <v>165</v>
      </c>
      <c r="E188" s="59" t="s">
        <v>798</v>
      </c>
      <c r="F188" s="60" t="s">
        <v>127</v>
      </c>
      <c r="G188" s="1"/>
      <c r="H188" s="1"/>
      <c r="I188" s="1"/>
      <c r="J188" s="1"/>
      <c r="K188" s="1"/>
      <c r="L188" s="1"/>
      <c r="M188" s="11"/>
      <c r="N188" s="1"/>
      <c r="O188" s="1"/>
      <c r="P188" s="1"/>
      <c r="Q188" s="11"/>
      <c r="R188" s="1"/>
      <c r="S188" s="1"/>
      <c r="T188" s="1"/>
      <c r="U188" s="1"/>
      <c r="V188" s="1"/>
      <c r="W188" s="1"/>
      <c r="X188" s="1"/>
      <c r="Y188" s="1"/>
      <c r="Z188" s="1"/>
      <c r="AA188" s="11"/>
      <c r="AB188" s="11"/>
      <c r="AC188" s="1"/>
      <c r="AD188" s="1"/>
      <c r="AE188" s="11"/>
      <c r="AF188" s="11"/>
      <c r="AG188" s="1"/>
      <c r="AH188" s="11"/>
      <c r="AI188" s="11"/>
      <c r="AJ188" s="1"/>
      <c r="AK188" s="1"/>
      <c r="AL188" s="11"/>
      <c r="AM188" s="11"/>
      <c r="AN188" s="1"/>
      <c r="AO188" s="1"/>
      <c r="AP188" s="1"/>
    </row>
    <row x14ac:dyDescent="0.25" r="189" customHeight="1" ht="18.75">
      <c r="A189" s="19">
        <f>+LEN(E189)</f>
      </c>
      <c r="B189" s="20" t="s">
        <v>799</v>
      </c>
      <c r="C189" s="21" t="s">
        <v>800</v>
      </c>
      <c r="D189" s="21" t="s">
        <v>165</v>
      </c>
      <c r="E189" s="22" t="s">
        <v>801</v>
      </c>
      <c r="F189" s="23" t="s">
        <v>127</v>
      </c>
      <c r="G189" s="1"/>
      <c r="H189" s="1"/>
      <c r="I189" s="1"/>
      <c r="J189" s="1"/>
      <c r="K189" s="1"/>
      <c r="L189" s="1"/>
      <c r="M189" s="11"/>
      <c r="N189" s="1"/>
      <c r="O189" s="1"/>
      <c r="P189" s="1"/>
      <c r="Q189" s="11"/>
      <c r="R189" s="1"/>
      <c r="S189" s="1"/>
      <c r="T189" s="1"/>
      <c r="U189" s="1"/>
      <c r="V189" s="1"/>
      <c r="W189" s="1"/>
      <c r="X189" s="1"/>
      <c r="Y189" s="1"/>
      <c r="Z189" s="1"/>
      <c r="AA189" s="11"/>
      <c r="AB189" s="11"/>
      <c r="AC189" s="1"/>
      <c r="AD189" s="1"/>
      <c r="AE189" s="11"/>
      <c r="AF189" s="11"/>
      <c r="AG189" s="1"/>
      <c r="AH189" s="11"/>
      <c r="AI189" s="11"/>
      <c r="AJ189" s="1"/>
      <c r="AK189" s="1"/>
      <c r="AL189" s="11"/>
      <c r="AM189" s="11"/>
      <c r="AN189" s="1"/>
      <c r="AO189" s="1"/>
      <c r="AP189" s="1"/>
    </row>
    <row x14ac:dyDescent="0.25" r="190" customHeight="1" ht="18.75">
      <c r="A190" s="19">
        <f>+LEN(E190)</f>
      </c>
      <c r="B190" s="20" t="s">
        <v>802</v>
      </c>
      <c r="C190" s="21" t="s">
        <v>803</v>
      </c>
      <c r="D190" s="21" t="s">
        <v>137</v>
      </c>
      <c r="E190" s="22" t="s">
        <v>804</v>
      </c>
      <c r="F190" s="23" t="s">
        <v>127</v>
      </c>
      <c r="G190" s="1"/>
      <c r="H190" s="1"/>
      <c r="I190" s="1"/>
      <c r="J190" s="1"/>
      <c r="K190" s="1"/>
      <c r="L190" s="1"/>
      <c r="M190" s="11"/>
      <c r="N190" s="1"/>
      <c r="O190" s="1"/>
      <c r="P190" s="1"/>
      <c r="Q190" s="11"/>
      <c r="R190" s="1"/>
      <c r="S190" s="1"/>
      <c r="T190" s="1"/>
      <c r="U190" s="1"/>
      <c r="V190" s="1"/>
      <c r="W190" s="1"/>
      <c r="X190" s="1"/>
      <c r="Y190" s="1"/>
      <c r="Z190" s="1"/>
      <c r="AA190" s="11"/>
      <c r="AB190" s="11"/>
      <c r="AC190" s="1"/>
      <c r="AD190" s="1"/>
      <c r="AE190" s="11"/>
      <c r="AF190" s="11"/>
      <c r="AG190" s="1"/>
      <c r="AH190" s="11"/>
      <c r="AI190" s="11"/>
      <c r="AJ190" s="1"/>
      <c r="AK190" s="1"/>
      <c r="AL190" s="11"/>
      <c r="AM190" s="11"/>
      <c r="AN190" s="1"/>
      <c r="AO190" s="1"/>
      <c r="AP190" s="1"/>
    </row>
    <row x14ac:dyDescent="0.25" r="191" customHeight="1" ht="18.75">
      <c r="A191" s="19">
        <f>+LEN(E191)</f>
      </c>
      <c r="B191" s="20" t="s">
        <v>805</v>
      </c>
      <c r="C191" s="21" t="s">
        <v>806</v>
      </c>
      <c r="D191" s="21" t="s">
        <v>165</v>
      </c>
      <c r="E191" s="22" t="s">
        <v>807</v>
      </c>
      <c r="F191" s="23" t="s">
        <v>127</v>
      </c>
      <c r="G191" s="1"/>
      <c r="H191" s="1"/>
      <c r="I191" s="1"/>
      <c r="J191" s="1"/>
      <c r="K191" s="1"/>
      <c r="L191" s="1"/>
      <c r="M191" s="11"/>
      <c r="N191" s="1"/>
      <c r="O191" s="1"/>
      <c r="P191" s="1"/>
      <c r="Q191" s="11"/>
      <c r="R191" s="1"/>
      <c r="S191" s="1"/>
      <c r="T191" s="1"/>
      <c r="U191" s="1"/>
      <c r="V191" s="1"/>
      <c r="W191" s="1"/>
      <c r="X191" s="1"/>
      <c r="Y191" s="1"/>
      <c r="Z191" s="1"/>
      <c r="AA191" s="11"/>
      <c r="AB191" s="11"/>
      <c r="AC191" s="1"/>
      <c r="AD191" s="1"/>
      <c r="AE191" s="11"/>
      <c r="AF191" s="11"/>
      <c r="AG191" s="1"/>
      <c r="AH191" s="11"/>
      <c r="AI191" s="11"/>
      <c r="AJ191" s="1"/>
      <c r="AK191" s="1"/>
      <c r="AL191" s="11"/>
      <c r="AM191" s="11"/>
      <c r="AN191" s="1"/>
      <c r="AO191" s="1"/>
      <c r="AP191" s="1"/>
    </row>
    <row x14ac:dyDescent="0.25" r="192" customHeight="1" ht="18.75">
      <c r="A192" s="19">
        <f>+LEN(E192)</f>
      </c>
      <c r="B192" s="20" t="s">
        <v>787</v>
      </c>
      <c r="C192" s="21" t="s">
        <v>788</v>
      </c>
      <c r="D192" s="21" t="s">
        <v>165</v>
      </c>
      <c r="E192" s="22" t="s">
        <v>789</v>
      </c>
      <c r="F192" s="23" t="s">
        <v>127</v>
      </c>
      <c r="G192" s="1"/>
      <c r="H192" s="1"/>
      <c r="I192" s="1"/>
      <c r="J192" s="1"/>
      <c r="K192" s="1"/>
      <c r="L192" s="1"/>
      <c r="M192" s="11"/>
      <c r="N192" s="1"/>
      <c r="O192" s="1"/>
      <c r="P192" s="1"/>
      <c r="Q192" s="11"/>
      <c r="R192" s="1"/>
      <c r="S192" s="1"/>
      <c r="T192" s="1"/>
      <c r="U192" s="1"/>
      <c r="V192" s="1"/>
      <c r="W192" s="1"/>
      <c r="X192" s="1"/>
      <c r="Y192" s="1"/>
      <c r="Z192" s="1"/>
      <c r="AA192" s="11"/>
      <c r="AB192" s="11"/>
      <c r="AC192" s="1"/>
      <c r="AD192" s="1"/>
      <c r="AE192" s="11"/>
      <c r="AF192" s="11"/>
      <c r="AG192" s="1"/>
      <c r="AH192" s="11"/>
      <c r="AI192" s="11"/>
      <c r="AJ192" s="1"/>
      <c r="AK192" s="1"/>
      <c r="AL192" s="11"/>
      <c r="AM192" s="11"/>
      <c r="AN192" s="1"/>
      <c r="AO192" s="1"/>
      <c r="AP192" s="1"/>
    </row>
    <row x14ac:dyDescent="0.25" r="193" customHeight="1" ht="18.75">
      <c r="A193" s="19">
        <f>+LEN(E193)</f>
      </c>
      <c r="B193" s="20" t="s">
        <v>808</v>
      </c>
      <c r="C193" s="21" t="s">
        <v>809</v>
      </c>
      <c r="D193" s="21" t="s">
        <v>165</v>
      </c>
      <c r="E193" s="22" t="s">
        <v>810</v>
      </c>
      <c r="F193" s="23" t="s">
        <v>127</v>
      </c>
      <c r="G193" s="1"/>
      <c r="H193" s="1"/>
      <c r="I193" s="1"/>
      <c r="J193" s="1"/>
      <c r="K193" s="1"/>
      <c r="L193" s="1"/>
      <c r="M193" s="11"/>
      <c r="N193" s="1"/>
      <c r="O193" s="1"/>
      <c r="P193" s="1"/>
      <c r="Q193" s="11"/>
      <c r="R193" s="1"/>
      <c r="S193" s="1"/>
      <c r="T193" s="1"/>
      <c r="U193" s="1"/>
      <c r="V193" s="1"/>
      <c r="W193" s="1"/>
      <c r="X193" s="1"/>
      <c r="Y193" s="1"/>
      <c r="Z193" s="1"/>
      <c r="AA193" s="11"/>
      <c r="AB193" s="11"/>
      <c r="AC193" s="1"/>
      <c r="AD193" s="1"/>
      <c r="AE193" s="11"/>
      <c r="AF193" s="11"/>
      <c r="AG193" s="1"/>
      <c r="AH193" s="11"/>
      <c r="AI193" s="11"/>
      <c r="AJ193" s="1"/>
      <c r="AK193" s="1"/>
      <c r="AL193" s="11"/>
      <c r="AM193" s="11"/>
      <c r="AN193" s="1"/>
      <c r="AO193" s="1"/>
      <c r="AP193" s="1"/>
    </row>
    <row x14ac:dyDescent="0.25" r="194" customHeight="1" ht="18.75">
      <c r="A194" s="19">
        <f>+LEN(E194)</f>
      </c>
      <c r="B194" s="20" t="s">
        <v>811</v>
      </c>
      <c r="C194" s="21" t="s">
        <v>812</v>
      </c>
      <c r="D194" s="21" t="s">
        <v>165</v>
      </c>
      <c r="E194" s="22" t="s">
        <v>813</v>
      </c>
      <c r="F194" s="23" t="s">
        <v>127</v>
      </c>
      <c r="G194" s="1"/>
      <c r="H194" s="1"/>
      <c r="I194" s="1"/>
      <c r="J194" s="1"/>
      <c r="K194" s="1"/>
      <c r="L194" s="1"/>
      <c r="M194" s="11"/>
      <c r="N194" s="1"/>
      <c r="O194" s="1"/>
      <c r="P194" s="1"/>
      <c r="Q194" s="11"/>
      <c r="R194" s="1"/>
      <c r="S194" s="1"/>
      <c r="T194" s="1"/>
      <c r="U194" s="1"/>
      <c r="V194" s="1"/>
      <c r="W194" s="1"/>
      <c r="X194" s="1"/>
      <c r="Y194" s="1"/>
      <c r="Z194" s="1"/>
      <c r="AA194" s="11"/>
      <c r="AB194" s="11"/>
      <c r="AC194" s="1"/>
      <c r="AD194" s="1"/>
      <c r="AE194" s="11"/>
      <c r="AF194" s="11"/>
      <c r="AG194" s="1"/>
      <c r="AH194" s="11"/>
      <c r="AI194" s="11"/>
      <c r="AJ194" s="1"/>
      <c r="AK194" s="1"/>
      <c r="AL194" s="11"/>
      <c r="AM194" s="11"/>
      <c r="AN194" s="1"/>
      <c r="AO194" s="1"/>
      <c r="AP194" s="1"/>
    </row>
    <row x14ac:dyDescent="0.25" r="195" customHeight="1" ht="18.75">
      <c r="A195" s="19">
        <f>+LEN(E195)</f>
      </c>
      <c r="B195" s="20" t="s">
        <v>814</v>
      </c>
      <c r="C195" s="21" t="s">
        <v>815</v>
      </c>
      <c r="D195" s="21" t="s">
        <v>137</v>
      </c>
      <c r="E195" s="22" t="s">
        <v>816</v>
      </c>
      <c r="F195" s="23" t="s">
        <v>127</v>
      </c>
      <c r="G195" s="1"/>
      <c r="H195" s="1"/>
      <c r="I195" s="1"/>
      <c r="J195" s="1"/>
      <c r="K195" s="1"/>
      <c r="L195" s="1"/>
      <c r="M195" s="11"/>
      <c r="N195" s="1"/>
      <c r="O195" s="1"/>
      <c r="P195" s="1"/>
      <c r="Q195" s="11"/>
      <c r="R195" s="1"/>
      <c r="S195" s="1"/>
      <c r="T195" s="1"/>
      <c r="U195" s="1"/>
      <c r="V195" s="1"/>
      <c r="W195" s="1"/>
      <c r="X195" s="1"/>
      <c r="Y195" s="1"/>
      <c r="Z195" s="1"/>
      <c r="AA195" s="11"/>
      <c r="AB195" s="11"/>
      <c r="AC195" s="1"/>
      <c r="AD195" s="1"/>
      <c r="AE195" s="11"/>
      <c r="AF195" s="11"/>
      <c r="AG195" s="1"/>
      <c r="AH195" s="11"/>
      <c r="AI195" s="11"/>
      <c r="AJ195" s="1"/>
      <c r="AK195" s="1"/>
      <c r="AL195" s="11"/>
      <c r="AM195" s="11"/>
      <c r="AN195" s="1"/>
      <c r="AO195" s="1"/>
      <c r="AP195" s="1"/>
    </row>
    <row x14ac:dyDescent="0.25" r="196" customHeight="1" ht="18.75">
      <c r="A196" s="19">
        <f>+LEN(E196)</f>
      </c>
      <c r="B196" s="20" t="s">
        <v>817</v>
      </c>
      <c r="C196" s="58" t="s">
        <v>818</v>
      </c>
      <c r="D196" s="58" t="s">
        <v>165</v>
      </c>
      <c r="E196" s="59" t="s">
        <v>819</v>
      </c>
      <c r="F196" s="60" t="s">
        <v>127</v>
      </c>
      <c r="G196" s="1"/>
      <c r="H196" s="1"/>
      <c r="I196" s="1"/>
      <c r="J196" s="1"/>
      <c r="K196" s="1"/>
      <c r="L196" s="1"/>
      <c r="M196" s="11"/>
      <c r="N196" s="1"/>
      <c r="O196" s="1"/>
      <c r="P196" s="1"/>
      <c r="Q196" s="11"/>
      <c r="R196" s="1"/>
      <c r="S196" s="1"/>
      <c r="T196" s="1"/>
      <c r="U196" s="1"/>
      <c r="V196" s="1"/>
      <c r="W196" s="1"/>
      <c r="X196" s="1"/>
      <c r="Y196" s="1"/>
      <c r="Z196" s="1"/>
      <c r="AA196" s="11"/>
      <c r="AB196" s="11"/>
      <c r="AC196" s="1"/>
      <c r="AD196" s="1"/>
      <c r="AE196" s="11"/>
      <c r="AF196" s="11"/>
      <c r="AG196" s="1"/>
      <c r="AH196" s="11"/>
      <c r="AI196" s="11"/>
      <c r="AJ196" s="1"/>
      <c r="AK196" s="1"/>
      <c r="AL196" s="11"/>
      <c r="AM196" s="11"/>
      <c r="AN196" s="1"/>
      <c r="AO196" s="1"/>
      <c r="AP196" s="1"/>
    </row>
    <row x14ac:dyDescent="0.25" r="197" customHeight="1" ht="18.75">
      <c r="A197" s="19">
        <f>+LEN(E197)</f>
      </c>
      <c r="B197" s="20" t="s">
        <v>820</v>
      </c>
      <c r="C197" s="21" t="s">
        <v>821</v>
      </c>
      <c r="D197" s="21" t="s">
        <v>165</v>
      </c>
      <c r="E197" s="22" t="s">
        <v>822</v>
      </c>
      <c r="F197" s="23" t="s">
        <v>127</v>
      </c>
      <c r="G197" s="1"/>
      <c r="H197" s="1"/>
      <c r="I197" s="1"/>
      <c r="J197" s="1"/>
      <c r="K197" s="1"/>
      <c r="L197" s="1"/>
      <c r="M197" s="11"/>
      <c r="N197" s="1"/>
      <c r="O197" s="1"/>
      <c r="P197" s="1"/>
      <c r="Q197" s="11"/>
      <c r="R197" s="1"/>
      <c r="S197" s="1"/>
      <c r="T197" s="1"/>
      <c r="U197" s="1"/>
      <c r="V197" s="1"/>
      <c r="W197" s="1"/>
      <c r="X197" s="1"/>
      <c r="Y197" s="1"/>
      <c r="Z197" s="1"/>
      <c r="AA197" s="11"/>
      <c r="AB197" s="11"/>
      <c r="AC197" s="1"/>
      <c r="AD197" s="1"/>
      <c r="AE197" s="11"/>
      <c r="AF197" s="11"/>
      <c r="AG197" s="1"/>
      <c r="AH197" s="11"/>
      <c r="AI197" s="11"/>
      <c r="AJ197" s="1"/>
      <c r="AK197" s="1"/>
      <c r="AL197" s="11"/>
      <c r="AM197" s="11"/>
      <c r="AN197" s="1"/>
      <c r="AO197" s="1"/>
      <c r="AP197" s="1"/>
    </row>
    <row x14ac:dyDescent="0.25" r="198" customHeight="1" ht="18.75">
      <c r="A198" s="19">
        <f>+LEN(E198)</f>
      </c>
      <c r="B198" s="20" t="s">
        <v>823</v>
      </c>
      <c r="C198" s="21" t="s">
        <v>824</v>
      </c>
      <c r="D198" s="21" t="s">
        <v>165</v>
      </c>
      <c r="E198" s="22" t="s">
        <v>825</v>
      </c>
      <c r="F198" s="23" t="s">
        <v>127</v>
      </c>
      <c r="G198" s="1"/>
      <c r="H198" s="1"/>
      <c r="I198" s="1"/>
      <c r="J198" s="1"/>
      <c r="K198" s="1"/>
      <c r="L198" s="1"/>
      <c r="M198" s="11"/>
      <c r="N198" s="1"/>
      <c r="O198" s="1"/>
      <c r="P198" s="1"/>
      <c r="Q198" s="11"/>
      <c r="R198" s="1"/>
      <c r="S198" s="1"/>
      <c r="T198" s="1"/>
      <c r="U198" s="1"/>
      <c r="V198" s="1"/>
      <c r="W198" s="1"/>
      <c r="X198" s="1"/>
      <c r="Y198" s="1"/>
      <c r="Z198" s="1"/>
      <c r="AA198" s="11"/>
      <c r="AB198" s="11"/>
      <c r="AC198" s="1"/>
      <c r="AD198" s="1"/>
      <c r="AE198" s="11"/>
      <c r="AF198" s="11"/>
      <c r="AG198" s="1"/>
      <c r="AH198" s="11"/>
      <c r="AI198" s="11"/>
      <c r="AJ198" s="1"/>
      <c r="AK198" s="1"/>
      <c r="AL198" s="11"/>
      <c r="AM198" s="11"/>
      <c r="AN198" s="1"/>
      <c r="AO198" s="1"/>
      <c r="AP198" s="1"/>
    </row>
    <row x14ac:dyDescent="0.25" r="199" customHeight="1" ht="18.75">
      <c r="A199" s="19">
        <f>+LEN(E199)</f>
      </c>
      <c r="B199" s="20" t="s">
        <v>826</v>
      </c>
      <c r="C199" s="21" t="s">
        <v>827</v>
      </c>
      <c r="D199" s="21" t="s">
        <v>165</v>
      </c>
      <c r="E199" s="20" t="s">
        <v>828</v>
      </c>
      <c r="F199" s="23" t="s">
        <v>127</v>
      </c>
      <c r="G199" s="1"/>
      <c r="H199" s="1"/>
      <c r="I199" s="1"/>
      <c r="J199" s="1"/>
      <c r="K199" s="1"/>
      <c r="L199" s="1"/>
      <c r="M199" s="11"/>
      <c r="N199" s="1"/>
      <c r="O199" s="1"/>
      <c r="P199" s="1"/>
      <c r="Q199" s="11"/>
      <c r="R199" s="1"/>
      <c r="S199" s="1"/>
      <c r="T199" s="1"/>
      <c r="U199" s="1"/>
      <c r="V199" s="1"/>
      <c r="W199" s="1"/>
      <c r="X199" s="1"/>
      <c r="Y199" s="1"/>
      <c r="Z199" s="1"/>
      <c r="AA199" s="11"/>
      <c r="AB199" s="11"/>
      <c r="AC199" s="1"/>
      <c r="AD199" s="1"/>
      <c r="AE199" s="11"/>
      <c r="AF199" s="11"/>
      <c r="AG199" s="1"/>
      <c r="AH199" s="11"/>
      <c r="AI199" s="11"/>
      <c r="AJ199" s="1"/>
      <c r="AK199" s="1"/>
      <c r="AL199" s="11"/>
      <c r="AM199" s="11"/>
      <c r="AN199" s="1"/>
      <c r="AO199" s="1"/>
      <c r="AP199" s="1"/>
    </row>
    <row x14ac:dyDescent="0.25" r="200" customHeight="1" ht="18.75">
      <c r="A200" s="19">
        <f>+LEN(E200)</f>
      </c>
      <c r="B200" s="20" t="s">
        <v>829</v>
      </c>
      <c r="C200" s="21" t="s">
        <v>830</v>
      </c>
      <c r="D200" s="21" t="s">
        <v>165</v>
      </c>
      <c r="E200" s="22" t="s">
        <v>831</v>
      </c>
      <c r="F200" s="23" t="s">
        <v>127</v>
      </c>
      <c r="G200" s="1"/>
      <c r="H200" s="1"/>
      <c r="I200" s="1"/>
      <c r="J200" s="1"/>
      <c r="K200" s="1"/>
      <c r="L200" s="1"/>
      <c r="M200" s="11"/>
      <c r="N200" s="1"/>
      <c r="O200" s="1"/>
      <c r="P200" s="1"/>
      <c r="Q200" s="11"/>
      <c r="R200" s="1"/>
      <c r="S200" s="1"/>
      <c r="T200" s="1"/>
      <c r="U200" s="1"/>
      <c r="V200" s="1"/>
      <c r="W200" s="1"/>
      <c r="X200" s="1"/>
      <c r="Y200" s="1"/>
      <c r="Z200" s="1"/>
      <c r="AA200" s="11"/>
      <c r="AB200" s="11"/>
      <c r="AC200" s="1"/>
      <c r="AD200" s="1"/>
      <c r="AE200" s="11"/>
      <c r="AF200" s="11"/>
      <c r="AG200" s="1"/>
      <c r="AH200" s="11"/>
      <c r="AI200" s="11"/>
      <c r="AJ200" s="1"/>
      <c r="AK200" s="1"/>
      <c r="AL200" s="11"/>
      <c r="AM200" s="11"/>
      <c r="AN200" s="1"/>
      <c r="AO200" s="1"/>
      <c r="AP200" s="1"/>
    </row>
    <row x14ac:dyDescent="0.25" r="201" customHeight="1" ht="18.75">
      <c r="A201" s="19">
        <f>+LEN(E201)</f>
      </c>
      <c r="B201" s="20" t="s">
        <v>832</v>
      </c>
      <c r="C201" s="21" t="s">
        <v>833</v>
      </c>
      <c r="D201" s="21" t="s">
        <v>165</v>
      </c>
      <c r="E201" s="22" t="s">
        <v>834</v>
      </c>
      <c r="F201" s="23" t="s">
        <v>127</v>
      </c>
      <c r="G201" s="1"/>
      <c r="H201" s="1"/>
      <c r="I201" s="1"/>
      <c r="J201" s="1"/>
      <c r="K201" s="1"/>
      <c r="L201" s="1"/>
      <c r="M201" s="11"/>
      <c r="N201" s="1"/>
      <c r="O201" s="1"/>
      <c r="P201" s="1"/>
      <c r="Q201" s="11"/>
      <c r="R201" s="1"/>
      <c r="S201" s="1"/>
      <c r="T201" s="1"/>
      <c r="U201" s="1"/>
      <c r="V201" s="1"/>
      <c r="W201" s="1"/>
      <c r="X201" s="1"/>
      <c r="Y201" s="1"/>
      <c r="Z201" s="1"/>
      <c r="AA201" s="11"/>
      <c r="AB201" s="11"/>
      <c r="AC201" s="1"/>
      <c r="AD201" s="1"/>
      <c r="AE201" s="11"/>
      <c r="AF201" s="11"/>
      <c r="AG201" s="1"/>
      <c r="AH201" s="11"/>
      <c r="AI201" s="11"/>
      <c r="AJ201" s="1"/>
      <c r="AK201" s="1"/>
      <c r="AL201" s="11"/>
      <c r="AM201" s="11"/>
      <c r="AN201" s="1"/>
      <c r="AO201" s="1"/>
      <c r="AP201" s="1"/>
    </row>
    <row x14ac:dyDescent="0.25" r="202" customHeight="1" ht="18.75">
      <c r="A202" s="19">
        <f>+LEN(E202)</f>
      </c>
      <c r="B202" s="20" t="s">
        <v>835</v>
      </c>
      <c r="C202" s="21" t="s">
        <v>836</v>
      </c>
      <c r="D202" s="21" t="s">
        <v>165</v>
      </c>
      <c r="E202" s="22" t="s">
        <v>837</v>
      </c>
      <c r="F202" s="23" t="s">
        <v>127</v>
      </c>
      <c r="G202" s="1"/>
      <c r="H202" s="1"/>
      <c r="I202" s="1"/>
      <c r="J202" s="1"/>
      <c r="K202" s="1"/>
      <c r="L202" s="1"/>
      <c r="M202" s="11"/>
      <c r="N202" s="1"/>
      <c r="O202" s="1"/>
      <c r="P202" s="1"/>
      <c r="Q202" s="11"/>
      <c r="R202" s="1"/>
      <c r="S202" s="1"/>
      <c r="T202" s="1"/>
      <c r="U202" s="1"/>
      <c r="V202" s="1"/>
      <c r="W202" s="1"/>
      <c r="X202" s="1"/>
      <c r="Y202" s="1"/>
      <c r="Z202" s="1"/>
      <c r="AA202" s="11"/>
      <c r="AB202" s="11"/>
      <c r="AC202" s="1"/>
      <c r="AD202" s="1"/>
      <c r="AE202" s="11"/>
      <c r="AF202" s="11"/>
      <c r="AG202" s="1"/>
      <c r="AH202" s="11"/>
      <c r="AI202" s="11"/>
      <c r="AJ202" s="1"/>
      <c r="AK202" s="1"/>
      <c r="AL202" s="11"/>
      <c r="AM202" s="11"/>
      <c r="AN202" s="1"/>
      <c r="AO202" s="1"/>
      <c r="AP202" s="1"/>
    </row>
    <row x14ac:dyDescent="0.25" r="203" customHeight="1" ht="18.75">
      <c r="A203" s="19">
        <f>+LEN(E203)</f>
      </c>
      <c r="B203" s="20" t="s">
        <v>838</v>
      </c>
      <c r="C203" s="21" t="s">
        <v>839</v>
      </c>
      <c r="D203" s="21" t="s">
        <v>137</v>
      </c>
      <c r="E203" s="22" t="s">
        <v>840</v>
      </c>
      <c r="F203" s="23" t="s">
        <v>127</v>
      </c>
      <c r="G203" s="1"/>
      <c r="H203" s="1"/>
      <c r="I203" s="1"/>
      <c r="J203" s="1"/>
      <c r="K203" s="1"/>
      <c r="L203" s="1"/>
      <c r="M203" s="11"/>
      <c r="N203" s="1"/>
      <c r="O203" s="1"/>
      <c r="P203" s="1"/>
      <c r="Q203" s="11"/>
      <c r="R203" s="1"/>
      <c r="S203" s="1"/>
      <c r="T203" s="1"/>
      <c r="U203" s="1"/>
      <c r="V203" s="1"/>
      <c r="W203" s="1"/>
      <c r="X203" s="1"/>
      <c r="Y203" s="1"/>
      <c r="Z203" s="1"/>
      <c r="AA203" s="11"/>
      <c r="AB203" s="11"/>
      <c r="AC203" s="1"/>
      <c r="AD203" s="1"/>
      <c r="AE203" s="11"/>
      <c r="AF203" s="11"/>
      <c r="AG203" s="1"/>
      <c r="AH203" s="11"/>
      <c r="AI203" s="11"/>
      <c r="AJ203" s="1"/>
      <c r="AK203" s="1"/>
      <c r="AL203" s="11"/>
      <c r="AM203" s="11"/>
      <c r="AN203" s="1"/>
      <c r="AO203" s="1"/>
      <c r="AP203" s="1"/>
    </row>
    <row x14ac:dyDescent="0.25" r="204" customHeight="1" ht="18.75">
      <c r="A204" s="19">
        <f>+LEN(E204)</f>
      </c>
      <c r="B204" s="20" t="s">
        <v>841</v>
      </c>
      <c r="C204" s="21" t="s">
        <v>842</v>
      </c>
      <c r="D204" s="21" t="s">
        <v>165</v>
      </c>
      <c r="E204" s="22" t="s">
        <v>843</v>
      </c>
      <c r="F204" s="23" t="s">
        <v>127</v>
      </c>
      <c r="G204" s="1"/>
      <c r="H204" s="1"/>
      <c r="I204" s="1"/>
      <c r="J204" s="1"/>
      <c r="K204" s="1"/>
      <c r="L204" s="1"/>
      <c r="M204" s="11"/>
      <c r="N204" s="1"/>
      <c r="O204" s="1"/>
      <c r="P204" s="1"/>
      <c r="Q204" s="11"/>
      <c r="R204" s="1"/>
      <c r="S204" s="1"/>
      <c r="T204" s="1"/>
      <c r="U204" s="1"/>
      <c r="V204" s="1"/>
      <c r="W204" s="1"/>
      <c r="X204" s="1"/>
      <c r="Y204" s="1"/>
      <c r="Z204" s="1"/>
      <c r="AA204" s="11"/>
      <c r="AB204" s="11"/>
      <c r="AC204" s="1"/>
      <c r="AD204" s="1"/>
      <c r="AE204" s="11"/>
      <c r="AF204" s="11"/>
      <c r="AG204" s="1"/>
      <c r="AH204" s="11"/>
      <c r="AI204" s="11"/>
      <c r="AJ204" s="1"/>
      <c r="AK204" s="1"/>
      <c r="AL204" s="11"/>
      <c r="AM204" s="11"/>
      <c r="AN204" s="1"/>
      <c r="AO204" s="1"/>
      <c r="AP204" s="1"/>
    </row>
    <row x14ac:dyDescent="0.25" r="205" customHeight="1" ht="18.75">
      <c r="A205" s="19">
        <f>+LEN(E205)</f>
      </c>
      <c r="B205" s="20" t="s">
        <v>844</v>
      </c>
      <c r="C205" s="21" t="s">
        <v>845</v>
      </c>
      <c r="D205" s="21" t="s">
        <v>165</v>
      </c>
      <c r="E205" s="22" t="s">
        <v>846</v>
      </c>
      <c r="F205" s="23" t="s">
        <v>127</v>
      </c>
      <c r="G205" s="1"/>
      <c r="H205" s="1"/>
      <c r="I205" s="1"/>
      <c r="J205" s="1"/>
      <c r="K205" s="1"/>
      <c r="L205" s="1"/>
      <c r="M205" s="11"/>
      <c r="N205" s="1"/>
      <c r="O205" s="1"/>
      <c r="P205" s="1"/>
      <c r="Q205" s="11"/>
      <c r="R205" s="1"/>
      <c r="S205" s="1"/>
      <c r="T205" s="1"/>
      <c r="U205" s="1"/>
      <c r="V205" s="1"/>
      <c r="W205" s="1"/>
      <c r="X205" s="1"/>
      <c r="Y205" s="1"/>
      <c r="Z205" s="1"/>
      <c r="AA205" s="11"/>
      <c r="AB205" s="11"/>
      <c r="AC205" s="1"/>
      <c r="AD205" s="1"/>
      <c r="AE205" s="11"/>
      <c r="AF205" s="11"/>
      <c r="AG205" s="1"/>
      <c r="AH205" s="11"/>
      <c r="AI205" s="11"/>
      <c r="AJ205" s="1"/>
      <c r="AK205" s="1"/>
      <c r="AL205" s="11"/>
      <c r="AM205" s="11"/>
      <c r="AN205" s="1"/>
      <c r="AO205" s="1"/>
      <c r="AP205" s="1"/>
    </row>
    <row x14ac:dyDescent="0.25" r="206" customHeight="1" ht="18.75">
      <c r="A206" s="19">
        <f>+LEN(E206)</f>
      </c>
      <c r="B206" s="20" t="s">
        <v>847</v>
      </c>
      <c r="C206" s="21" t="s">
        <v>848</v>
      </c>
      <c r="D206" s="21" t="s">
        <v>165</v>
      </c>
      <c r="E206" s="22" t="s">
        <v>849</v>
      </c>
      <c r="F206" s="23" t="s">
        <v>127</v>
      </c>
      <c r="G206" s="1"/>
      <c r="H206" s="1"/>
      <c r="I206" s="1"/>
      <c r="J206" s="1"/>
      <c r="K206" s="1"/>
      <c r="L206" s="1"/>
      <c r="M206" s="11"/>
      <c r="N206" s="1"/>
      <c r="O206" s="1"/>
      <c r="P206" s="1"/>
      <c r="Q206" s="11"/>
      <c r="R206" s="1"/>
      <c r="S206" s="1"/>
      <c r="T206" s="1"/>
      <c r="U206" s="1"/>
      <c r="V206" s="1"/>
      <c r="W206" s="1"/>
      <c r="X206" s="1"/>
      <c r="Y206" s="1"/>
      <c r="Z206" s="1"/>
      <c r="AA206" s="11"/>
      <c r="AB206" s="11"/>
      <c r="AC206" s="1"/>
      <c r="AD206" s="1"/>
      <c r="AE206" s="11"/>
      <c r="AF206" s="11"/>
      <c r="AG206" s="1"/>
      <c r="AH206" s="11"/>
      <c r="AI206" s="11"/>
      <c r="AJ206" s="1"/>
      <c r="AK206" s="1"/>
      <c r="AL206" s="11"/>
      <c r="AM206" s="11"/>
      <c r="AN206" s="1"/>
      <c r="AO206" s="1"/>
      <c r="AP206" s="1"/>
    </row>
    <row x14ac:dyDescent="0.25" r="207" customHeight="1" ht="18.75">
      <c r="A207" s="19">
        <f>+LEN(E207)</f>
      </c>
      <c r="B207" s="20" t="s">
        <v>850</v>
      </c>
      <c r="C207" s="21" t="s">
        <v>851</v>
      </c>
      <c r="D207" s="21" t="s">
        <v>137</v>
      </c>
      <c r="E207" s="22" t="s">
        <v>852</v>
      </c>
      <c r="F207" s="23" t="s">
        <v>127</v>
      </c>
      <c r="G207" s="1"/>
      <c r="H207" s="1"/>
      <c r="I207" s="1"/>
      <c r="J207" s="1"/>
      <c r="K207" s="1"/>
      <c r="L207" s="1"/>
      <c r="M207" s="11"/>
      <c r="N207" s="1"/>
      <c r="O207" s="1"/>
      <c r="P207" s="1"/>
      <c r="Q207" s="11"/>
      <c r="R207" s="1"/>
      <c r="S207" s="1"/>
      <c r="T207" s="1"/>
      <c r="U207" s="1"/>
      <c r="V207" s="1"/>
      <c r="W207" s="1"/>
      <c r="X207" s="1"/>
      <c r="Y207" s="1"/>
      <c r="Z207" s="1"/>
      <c r="AA207" s="11"/>
      <c r="AB207" s="11"/>
      <c r="AC207" s="1"/>
      <c r="AD207" s="1"/>
      <c r="AE207" s="11"/>
      <c r="AF207" s="11"/>
      <c r="AG207" s="1"/>
      <c r="AH207" s="11"/>
      <c r="AI207" s="11"/>
      <c r="AJ207" s="1"/>
      <c r="AK207" s="1"/>
      <c r="AL207" s="11"/>
      <c r="AM207" s="11"/>
      <c r="AN207" s="1"/>
      <c r="AO207" s="1"/>
      <c r="AP207" s="1"/>
    </row>
    <row x14ac:dyDescent="0.25" r="208" customHeight="1" ht="18.75">
      <c r="A208" s="19">
        <f>+LEN(E208)</f>
      </c>
      <c r="B208" s="20" t="s">
        <v>853</v>
      </c>
      <c r="C208" s="21" t="s">
        <v>854</v>
      </c>
      <c r="D208" s="21" t="s">
        <v>137</v>
      </c>
      <c r="E208" s="22" t="s">
        <v>855</v>
      </c>
      <c r="F208" s="23" t="s">
        <v>127</v>
      </c>
      <c r="G208" s="1"/>
      <c r="H208" s="1"/>
      <c r="I208" s="1"/>
      <c r="J208" s="1"/>
      <c r="K208" s="1"/>
      <c r="L208" s="1"/>
      <c r="M208" s="11"/>
      <c r="N208" s="1"/>
      <c r="O208" s="1"/>
      <c r="P208" s="1"/>
      <c r="Q208" s="11"/>
      <c r="R208" s="1"/>
      <c r="S208" s="1"/>
      <c r="T208" s="1"/>
      <c r="U208" s="1"/>
      <c r="V208" s="1"/>
      <c r="W208" s="1"/>
      <c r="X208" s="1"/>
      <c r="Y208" s="1"/>
      <c r="Z208" s="1"/>
      <c r="AA208" s="11"/>
      <c r="AB208" s="11"/>
      <c r="AC208" s="1"/>
      <c r="AD208" s="1"/>
      <c r="AE208" s="11"/>
      <c r="AF208" s="11"/>
      <c r="AG208" s="1"/>
      <c r="AH208" s="11"/>
      <c r="AI208" s="11"/>
      <c r="AJ208" s="1"/>
      <c r="AK208" s="1"/>
      <c r="AL208" s="11"/>
      <c r="AM208" s="11"/>
      <c r="AN208" s="1"/>
      <c r="AO208" s="1"/>
      <c r="AP208" s="1"/>
    </row>
    <row x14ac:dyDescent="0.25" r="209" customHeight="1" ht="18.75">
      <c r="A209" s="19">
        <f>+LEN(E209)</f>
      </c>
      <c r="B209" s="20" t="s">
        <v>856</v>
      </c>
      <c r="C209" s="58" t="s">
        <v>857</v>
      </c>
      <c r="D209" s="58" t="s">
        <v>165</v>
      </c>
      <c r="E209" s="59" t="s">
        <v>858</v>
      </c>
      <c r="F209" s="60" t="s">
        <v>127</v>
      </c>
      <c r="G209" s="1"/>
      <c r="H209" s="1"/>
      <c r="I209" s="1"/>
      <c r="J209" s="1"/>
      <c r="K209" s="1"/>
      <c r="L209" s="1"/>
      <c r="M209" s="11"/>
      <c r="N209" s="1"/>
      <c r="O209" s="1"/>
      <c r="P209" s="1"/>
      <c r="Q209" s="11"/>
      <c r="R209" s="1"/>
      <c r="S209" s="1"/>
      <c r="T209" s="1"/>
      <c r="U209" s="1"/>
      <c r="V209" s="1"/>
      <c r="W209" s="1"/>
      <c r="X209" s="1"/>
      <c r="Y209" s="1"/>
      <c r="Z209" s="1"/>
      <c r="AA209" s="11"/>
      <c r="AB209" s="11"/>
      <c r="AC209" s="1"/>
      <c r="AD209" s="1"/>
      <c r="AE209" s="11"/>
      <c r="AF209" s="11"/>
      <c r="AG209" s="1"/>
      <c r="AH209" s="11"/>
      <c r="AI209" s="11"/>
      <c r="AJ209" s="1"/>
      <c r="AK209" s="1"/>
      <c r="AL209" s="11"/>
      <c r="AM209" s="11"/>
      <c r="AN209" s="1"/>
      <c r="AO209" s="1"/>
      <c r="AP209" s="1"/>
    </row>
    <row x14ac:dyDescent="0.25" r="210" customHeight="1" ht="18.75">
      <c r="A210" s="19">
        <f>+LEN(E210)</f>
      </c>
      <c r="B210" s="20" t="s">
        <v>859</v>
      </c>
      <c r="C210" s="58" t="s">
        <v>860</v>
      </c>
      <c r="D210" s="58" t="s">
        <v>165</v>
      </c>
      <c r="E210" s="59" t="s">
        <v>861</v>
      </c>
      <c r="F210" s="60" t="s">
        <v>127</v>
      </c>
      <c r="G210" s="1"/>
      <c r="H210" s="1"/>
      <c r="I210" s="1"/>
      <c r="J210" s="1"/>
      <c r="K210" s="1"/>
      <c r="L210" s="1"/>
      <c r="M210" s="11"/>
      <c r="N210" s="1"/>
      <c r="O210" s="1"/>
      <c r="P210" s="1"/>
      <c r="Q210" s="11"/>
      <c r="R210" s="1"/>
      <c r="S210" s="1"/>
      <c r="T210" s="1"/>
      <c r="U210" s="1"/>
      <c r="V210" s="1"/>
      <c r="W210" s="1"/>
      <c r="X210" s="1"/>
      <c r="Y210" s="1"/>
      <c r="Z210" s="1"/>
      <c r="AA210" s="11"/>
      <c r="AB210" s="11"/>
      <c r="AC210" s="1"/>
      <c r="AD210" s="1"/>
      <c r="AE210" s="11"/>
      <c r="AF210" s="11"/>
      <c r="AG210" s="1"/>
      <c r="AH210" s="11"/>
      <c r="AI210" s="11"/>
      <c r="AJ210" s="1"/>
      <c r="AK210" s="1"/>
      <c r="AL210" s="11"/>
      <c r="AM210" s="11"/>
      <c r="AN210" s="1"/>
      <c r="AO210" s="1"/>
      <c r="AP210" s="1"/>
    </row>
    <row x14ac:dyDescent="0.25" r="211" customHeight="1" ht="18.75">
      <c r="A211" s="19">
        <f>+LEN(E211)</f>
      </c>
      <c r="B211" s="20" t="s">
        <v>862</v>
      </c>
      <c r="C211" s="21" t="s">
        <v>863</v>
      </c>
      <c r="D211" s="21" t="s">
        <v>165</v>
      </c>
      <c r="E211" s="22" t="s">
        <v>864</v>
      </c>
      <c r="F211" s="23" t="s">
        <v>127</v>
      </c>
      <c r="G211" s="1"/>
      <c r="H211" s="1"/>
      <c r="I211" s="1"/>
      <c r="J211" s="1"/>
      <c r="K211" s="1"/>
      <c r="L211" s="1"/>
      <c r="M211" s="11"/>
      <c r="N211" s="1"/>
      <c r="O211" s="1"/>
      <c r="P211" s="1"/>
      <c r="Q211" s="11"/>
      <c r="R211" s="1"/>
      <c r="S211" s="1"/>
      <c r="T211" s="1"/>
      <c r="U211" s="1"/>
      <c r="V211" s="1"/>
      <c r="W211" s="1"/>
      <c r="X211" s="1"/>
      <c r="Y211" s="1"/>
      <c r="Z211" s="1"/>
      <c r="AA211" s="11"/>
      <c r="AB211" s="11"/>
      <c r="AC211" s="1"/>
      <c r="AD211" s="1"/>
      <c r="AE211" s="11"/>
      <c r="AF211" s="11"/>
      <c r="AG211" s="1"/>
      <c r="AH211" s="11"/>
      <c r="AI211" s="11"/>
      <c r="AJ211" s="1"/>
      <c r="AK211" s="1"/>
      <c r="AL211" s="11"/>
      <c r="AM211" s="11"/>
      <c r="AN211" s="1"/>
      <c r="AO211" s="1"/>
      <c r="AP211" s="1"/>
    </row>
    <row x14ac:dyDescent="0.25" r="212" customHeight="1" ht="18.75">
      <c r="A212" s="19">
        <f>+LEN(E212)</f>
      </c>
      <c r="B212" s="20" t="s">
        <v>865</v>
      </c>
      <c r="C212" s="21" t="s">
        <v>866</v>
      </c>
      <c r="D212" s="21" t="s">
        <v>165</v>
      </c>
      <c r="E212" s="22" t="s">
        <v>867</v>
      </c>
      <c r="F212" s="23" t="s">
        <v>127</v>
      </c>
      <c r="G212" s="1"/>
      <c r="H212" s="1"/>
      <c r="I212" s="1"/>
      <c r="J212" s="1"/>
      <c r="K212" s="1"/>
      <c r="L212" s="1"/>
      <c r="M212" s="11"/>
      <c r="N212" s="1"/>
      <c r="O212" s="1"/>
      <c r="P212" s="1"/>
      <c r="Q212" s="11"/>
      <c r="R212" s="1"/>
      <c r="S212" s="1"/>
      <c r="T212" s="1"/>
      <c r="U212" s="1"/>
      <c r="V212" s="1"/>
      <c r="W212" s="1"/>
      <c r="X212" s="1"/>
      <c r="Y212" s="1"/>
      <c r="Z212" s="1"/>
      <c r="AA212" s="11"/>
      <c r="AB212" s="11"/>
      <c r="AC212" s="1"/>
      <c r="AD212" s="1"/>
      <c r="AE212" s="11"/>
      <c r="AF212" s="11"/>
      <c r="AG212" s="1"/>
      <c r="AH212" s="11"/>
      <c r="AI212" s="11"/>
      <c r="AJ212" s="1"/>
      <c r="AK212" s="1"/>
      <c r="AL212" s="11"/>
      <c r="AM212" s="11"/>
      <c r="AN212" s="1"/>
      <c r="AO212" s="1"/>
      <c r="AP212" s="1"/>
    </row>
    <row x14ac:dyDescent="0.25" r="213" customHeight="1" ht="18.75">
      <c r="A213" s="19">
        <f>+LEN(E213)</f>
      </c>
      <c r="B213" s="20" t="s">
        <v>868</v>
      </c>
      <c r="C213" s="21" t="s">
        <v>869</v>
      </c>
      <c r="D213" s="21" t="s">
        <v>137</v>
      </c>
      <c r="E213" s="22" t="s">
        <v>870</v>
      </c>
      <c r="F213" s="23" t="s">
        <v>127</v>
      </c>
      <c r="G213" s="1"/>
      <c r="H213" s="1"/>
      <c r="I213" s="1"/>
      <c r="J213" s="1"/>
      <c r="K213" s="1"/>
      <c r="L213" s="1"/>
      <c r="M213" s="11"/>
      <c r="N213" s="1"/>
      <c r="O213" s="1"/>
      <c r="P213" s="1"/>
      <c r="Q213" s="11"/>
      <c r="R213" s="1"/>
      <c r="S213" s="1"/>
      <c r="T213" s="1"/>
      <c r="U213" s="1"/>
      <c r="V213" s="1"/>
      <c r="W213" s="1"/>
      <c r="X213" s="1"/>
      <c r="Y213" s="1"/>
      <c r="Z213" s="1"/>
      <c r="AA213" s="11"/>
      <c r="AB213" s="11"/>
      <c r="AC213" s="1"/>
      <c r="AD213" s="1"/>
      <c r="AE213" s="11"/>
      <c r="AF213" s="11"/>
      <c r="AG213" s="1"/>
      <c r="AH213" s="11"/>
      <c r="AI213" s="11"/>
      <c r="AJ213" s="1"/>
      <c r="AK213" s="1"/>
      <c r="AL213" s="11"/>
      <c r="AM213" s="11"/>
      <c r="AN213" s="1"/>
      <c r="AO213" s="1"/>
      <c r="AP213" s="1"/>
    </row>
    <row x14ac:dyDescent="0.25" r="214" customHeight="1" ht="18.75">
      <c r="A214" s="19">
        <f>+LEN(E214)</f>
      </c>
      <c r="B214" s="20" t="s">
        <v>871</v>
      </c>
      <c r="C214" s="21" t="s">
        <v>872</v>
      </c>
      <c r="D214" s="21" t="s">
        <v>137</v>
      </c>
      <c r="E214" s="22" t="s">
        <v>873</v>
      </c>
      <c r="F214" s="23" t="s">
        <v>127</v>
      </c>
      <c r="G214" s="1"/>
      <c r="H214" s="1"/>
      <c r="I214" s="1"/>
      <c r="J214" s="1"/>
      <c r="K214" s="1"/>
      <c r="L214" s="1"/>
      <c r="M214" s="11"/>
      <c r="N214" s="1"/>
      <c r="O214" s="1"/>
      <c r="P214" s="1"/>
      <c r="Q214" s="11"/>
      <c r="R214" s="1"/>
      <c r="S214" s="1"/>
      <c r="T214" s="1"/>
      <c r="U214" s="1"/>
      <c r="V214" s="1"/>
      <c r="W214" s="1"/>
      <c r="X214" s="1"/>
      <c r="Y214" s="1"/>
      <c r="Z214" s="1"/>
      <c r="AA214" s="11"/>
      <c r="AB214" s="11"/>
      <c r="AC214" s="1"/>
      <c r="AD214" s="1"/>
      <c r="AE214" s="11"/>
      <c r="AF214" s="11"/>
      <c r="AG214" s="1"/>
      <c r="AH214" s="11"/>
      <c r="AI214" s="11"/>
      <c r="AJ214" s="1"/>
      <c r="AK214" s="1"/>
      <c r="AL214" s="11"/>
      <c r="AM214" s="11"/>
      <c r="AN214" s="1"/>
      <c r="AO214" s="1"/>
      <c r="AP214" s="1"/>
    </row>
    <row x14ac:dyDescent="0.25" r="215" customHeight="1" ht="18.75">
      <c r="A215" s="19">
        <f>+LEN(E215)</f>
      </c>
      <c r="B215" s="20" t="s">
        <v>874</v>
      </c>
      <c r="C215" s="21" t="s">
        <v>875</v>
      </c>
      <c r="D215" s="21" t="s">
        <v>165</v>
      </c>
      <c r="E215" s="22" t="s">
        <v>876</v>
      </c>
      <c r="F215" s="23" t="s">
        <v>127</v>
      </c>
      <c r="G215" s="1"/>
      <c r="H215" s="1"/>
      <c r="I215" s="1"/>
      <c r="J215" s="1"/>
      <c r="K215" s="1"/>
      <c r="L215" s="1"/>
      <c r="M215" s="11"/>
      <c r="N215" s="1"/>
      <c r="O215" s="1"/>
      <c r="P215" s="1"/>
      <c r="Q215" s="11"/>
      <c r="R215" s="1"/>
      <c r="S215" s="1"/>
      <c r="T215" s="1"/>
      <c r="U215" s="1"/>
      <c r="V215" s="1"/>
      <c r="W215" s="1"/>
      <c r="X215" s="1"/>
      <c r="Y215" s="1"/>
      <c r="Z215" s="1"/>
      <c r="AA215" s="11"/>
      <c r="AB215" s="11"/>
      <c r="AC215" s="1"/>
      <c r="AD215" s="1"/>
      <c r="AE215" s="11"/>
      <c r="AF215" s="11"/>
      <c r="AG215" s="1"/>
      <c r="AH215" s="11"/>
      <c r="AI215" s="11"/>
      <c r="AJ215" s="1"/>
      <c r="AK215" s="1"/>
      <c r="AL215" s="11"/>
      <c r="AM215" s="11"/>
      <c r="AN215" s="1"/>
      <c r="AO215" s="1"/>
      <c r="AP215" s="1"/>
    </row>
    <row x14ac:dyDescent="0.25" r="216" customHeight="1" ht="18.75">
      <c r="A216" s="19">
        <f>+LEN(E216)</f>
      </c>
      <c r="B216" s="20" t="s">
        <v>877</v>
      </c>
      <c r="C216" s="21" t="s">
        <v>878</v>
      </c>
      <c r="D216" s="21" t="s">
        <v>137</v>
      </c>
      <c r="E216" s="22" t="s">
        <v>879</v>
      </c>
      <c r="F216" s="23" t="s">
        <v>127</v>
      </c>
      <c r="G216" s="1"/>
      <c r="H216" s="1"/>
      <c r="I216" s="1"/>
      <c r="J216" s="1"/>
      <c r="K216" s="1"/>
      <c r="L216" s="1"/>
      <c r="M216" s="11"/>
      <c r="N216" s="1"/>
      <c r="O216" s="1"/>
      <c r="P216" s="1"/>
      <c r="Q216" s="11"/>
      <c r="R216" s="1"/>
      <c r="S216" s="1"/>
      <c r="T216" s="1"/>
      <c r="U216" s="1"/>
      <c r="V216" s="1"/>
      <c r="W216" s="1"/>
      <c r="X216" s="1"/>
      <c r="Y216" s="1"/>
      <c r="Z216" s="1"/>
      <c r="AA216" s="11"/>
      <c r="AB216" s="11"/>
      <c r="AC216" s="1"/>
      <c r="AD216" s="1"/>
      <c r="AE216" s="11"/>
      <c r="AF216" s="11"/>
      <c r="AG216" s="1"/>
      <c r="AH216" s="11"/>
      <c r="AI216" s="11"/>
      <c r="AJ216" s="1"/>
      <c r="AK216" s="1"/>
      <c r="AL216" s="11"/>
      <c r="AM216" s="11"/>
      <c r="AN216" s="1"/>
      <c r="AO216" s="1"/>
      <c r="AP216" s="1"/>
    </row>
    <row x14ac:dyDescent="0.25" r="217" customHeight="1" ht="18.75">
      <c r="A217" s="19">
        <f>+LEN(E217)</f>
      </c>
      <c r="B217" s="20" t="s">
        <v>880</v>
      </c>
      <c r="C217" s="21" t="s">
        <v>881</v>
      </c>
      <c r="D217" s="21" t="s">
        <v>137</v>
      </c>
      <c r="E217" s="22" t="s">
        <v>882</v>
      </c>
      <c r="F217" s="23" t="s">
        <v>127</v>
      </c>
      <c r="G217" s="1"/>
      <c r="H217" s="1"/>
      <c r="I217" s="1"/>
      <c r="J217" s="1"/>
      <c r="K217" s="1"/>
      <c r="L217" s="1"/>
      <c r="M217" s="11"/>
      <c r="N217" s="1"/>
      <c r="O217" s="1"/>
      <c r="P217" s="1"/>
      <c r="Q217" s="11"/>
      <c r="R217" s="1"/>
      <c r="S217" s="1"/>
      <c r="T217" s="1"/>
      <c r="U217" s="1"/>
      <c r="V217" s="1"/>
      <c r="W217" s="1"/>
      <c r="X217" s="1"/>
      <c r="Y217" s="1"/>
      <c r="Z217" s="1"/>
      <c r="AA217" s="11"/>
      <c r="AB217" s="11"/>
      <c r="AC217" s="1"/>
      <c r="AD217" s="1"/>
      <c r="AE217" s="11"/>
      <c r="AF217" s="11"/>
      <c r="AG217" s="1"/>
      <c r="AH217" s="11"/>
      <c r="AI217" s="11"/>
      <c r="AJ217" s="1"/>
      <c r="AK217" s="1"/>
      <c r="AL217" s="11"/>
      <c r="AM217" s="11"/>
      <c r="AN217" s="1"/>
      <c r="AO217" s="1"/>
      <c r="AP217" s="1"/>
    </row>
    <row x14ac:dyDescent="0.25" r="218" customHeight="1" ht="18.75">
      <c r="A218" s="19">
        <f>+LEN(E218)</f>
      </c>
      <c r="B218" s="20" t="s">
        <v>883</v>
      </c>
      <c r="C218" s="21" t="s">
        <v>884</v>
      </c>
      <c r="D218" s="21" t="s">
        <v>165</v>
      </c>
      <c r="E218" s="22" t="s">
        <v>885</v>
      </c>
      <c r="F218" s="23" t="s">
        <v>127</v>
      </c>
      <c r="G218" s="1"/>
      <c r="H218" s="1"/>
      <c r="I218" s="1"/>
      <c r="J218" s="1"/>
      <c r="K218" s="1"/>
      <c r="L218" s="1"/>
      <c r="M218" s="11"/>
      <c r="N218" s="1"/>
      <c r="O218" s="1"/>
      <c r="P218" s="1"/>
      <c r="Q218" s="11"/>
      <c r="R218" s="1"/>
      <c r="S218" s="1"/>
      <c r="T218" s="1"/>
      <c r="U218" s="1"/>
      <c r="V218" s="1"/>
      <c r="W218" s="1"/>
      <c r="X218" s="1"/>
      <c r="Y218" s="1"/>
      <c r="Z218" s="1"/>
      <c r="AA218" s="11"/>
      <c r="AB218" s="11"/>
      <c r="AC218" s="1"/>
      <c r="AD218" s="1"/>
      <c r="AE218" s="11"/>
      <c r="AF218" s="11"/>
      <c r="AG218" s="1"/>
      <c r="AH218" s="11"/>
      <c r="AI218" s="11"/>
      <c r="AJ218" s="1"/>
      <c r="AK218" s="1"/>
      <c r="AL218" s="11"/>
      <c r="AM218" s="11"/>
      <c r="AN218" s="1"/>
      <c r="AO218" s="1"/>
      <c r="AP218" s="1"/>
    </row>
    <row x14ac:dyDescent="0.25" r="219" customHeight="1" ht="18.75">
      <c r="A219" s="19">
        <f>+LEN(E219)</f>
      </c>
      <c r="B219" s="20" t="s">
        <v>886</v>
      </c>
      <c r="C219" s="21" t="s">
        <v>887</v>
      </c>
      <c r="D219" s="21" t="s">
        <v>165</v>
      </c>
      <c r="E219" s="22" t="s">
        <v>888</v>
      </c>
      <c r="F219" s="23" t="s">
        <v>127</v>
      </c>
      <c r="G219" s="1"/>
      <c r="H219" s="1"/>
      <c r="I219" s="1"/>
      <c r="J219" s="1"/>
      <c r="K219" s="1"/>
      <c r="L219" s="1"/>
      <c r="M219" s="11"/>
      <c r="N219" s="1"/>
      <c r="O219" s="1"/>
      <c r="P219" s="1"/>
      <c r="Q219" s="11"/>
      <c r="R219" s="1"/>
      <c r="S219" s="1"/>
      <c r="T219" s="1"/>
      <c r="U219" s="1"/>
      <c r="V219" s="1"/>
      <c r="W219" s="1"/>
      <c r="X219" s="1"/>
      <c r="Y219" s="1"/>
      <c r="Z219" s="1"/>
      <c r="AA219" s="11"/>
      <c r="AB219" s="11"/>
      <c r="AC219" s="1"/>
      <c r="AD219" s="1"/>
      <c r="AE219" s="11"/>
      <c r="AF219" s="11"/>
      <c r="AG219" s="1"/>
      <c r="AH219" s="11"/>
      <c r="AI219" s="11"/>
      <c r="AJ219" s="1"/>
      <c r="AK219" s="1"/>
      <c r="AL219" s="11"/>
      <c r="AM219" s="11"/>
      <c r="AN219" s="1"/>
      <c r="AO219" s="1"/>
      <c r="AP219" s="1"/>
    </row>
    <row x14ac:dyDescent="0.25" r="220" customHeight="1" ht="18.75">
      <c r="A220" s="19">
        <f>+LEN(E300)</f>
      </c>
      <c r="B220" s="57" t="s">
        <v>889</v>
      </c>
      <c r="C220" s="63" t="s">
        <v>890</v>
      </c>
      <c r="D220" s="21" t="s">
        <v>165</v>
      </c>
      <c r="E220" s="64" t="s">
        <v>891</v>
      </c>
      <c r="F220" s="60" t="s">
        <v>127</v>
      </c>
      <c r="G220" s="1"/>
      <c r="H220" s="1"/>
      <c r="I220" s="1"/>
      <c r="J220" s="1"/>
      <c r="K220" s="1"/>
      <c r="L220" s="1"/>
      <c r="M220" s="11"/>
      <c r="N220" s="1"/>
      <c r="O220" s="1"/>
      <c r="P220" s="1"/>
      <c r="Q220" s="11"/>
      <c r="R220" s="1"/>
      <c r="S220" s="1"/>
      <c r="T220" s="1"/>
      <c r="U220" s="1"/>
      <c r="V220" s="1"/>
      <c r="W220" s="1"/>
      <c r="X220" s="1"/>
      <c r="Y220" s="1"/>
      <c r="Z220" s="1"/>
      <c r="AA220" s="11"/>
      <c r="AB220" s="11"/>
      <c r="AC220" s="1"/>
      <c r="AD220" s="1"/>
      <c r="AE220" s="11"/>
      <c r="AF220" s="11"/>
      <c r="AG220" s="1"/>
      <c r="AH220" s="11"/>
      <c r="AI220" s="11"/>
      <c r="AJ220" s="1"/>
      <c r="AK220" s="1"/>
      <c r="AL220" s="11"/>
      <c r="AM220" s="11"/>
      <c r="AN220" s="1"/>
      <c r="AO220" s="1"/>
      <c r="AP220" s="1"/>
    </row>
    <row x14ac:dyDescent="0.25" r="221" customHeight="1" ht="18.75">
      <c r="A221" s="19">
        <f>+LEN(E301)</f>
      </c>
      <c r="B221" s="57" t="s">
        <v>892</v>
      </c>
      <c r="C221" s="63" t="s">
        <v>893</v>
      </c>
      <c r="D221" s="58" t="s">
        <v>165</v>
      </c>
      <c r="E221" s="64" t="s">
        <v>894</v>
      </c>
      <c r="F221" s="60" t="s">
        <v>127</v>
      </c>
      <c r="G221" s="1"/>
      <c r="H221" s="1"/>
      <c r="I221" s="1"/>
      <c r="J221" s="1"/>
      <c r="K221" s="1"/>
      <c r="L221" s="1"/>
      <c r="M221" s="11"/>
      <c r="N221" s="1"/>
      <c r="O221" s="1"/>
      <c r="P221" s="1"/>
      <c r="Q221" s="11"/>
      <c r="R221" s="1"/>
      <c r="S221" s="1"/>
      <c r="T221" s="1"/>
      <c r="U221" s="1"/>
      <c r="V221" s="1"/>
      <c r="W221" s="1"/>
      <c r="X221" s="1"/>
      <c r="Y221" s="1"/>
      <c r="Z221" s="1"/>
      <c r="AA221" s="11"/>
      <c r="AB221" s="11"/>
      <c r="AC221" s="1"/>
      <c r="AD221" s="1"/>
      <c r="AE221" s="11"/>
      <c r="AF221" s="11"/>
      <c r="AG221" s="1"/>
      <c r="AH221" s="11"/>
      <c r="AI221" s="11"/>
      <c r="AJ221" s="1"/>
      <c r="AK221" s="1"/>
      <c r="AL221" s="11"/>
      <c r="AM221" s="11"/>
      <c r="AN221" s="1"/>
      <c r="AO221" s="1"/>
      <c r="AP221" s="1"/>
    </row>
    <row x14ac:dyDescent="0.25" r="222" customHeight="1" ht="18.75">
      <c r="A222" s="19">
        <f>+LEN(E302)</f>
      </c>
      <c r="B222" s="20" t="s">
        <v>895</v>
      </c>
      <c r="C222" s="61" t="s">
        <v>896</v>
      </c>
      <c r="D222" s="21" t="s">
        <v>165</v>
      </c>
      <c r="E222" s="62" t="s">
        <v>897</v>
      </c>
      <c r="F222" s="23" t="s">
        <v>127</v>
      </c>
      <c r="G222" s="1"/>
      <c r="H222" s="1"/>
      <c r="I222" s="1"/>
      <c r="J222" s="1"/>
      <c r="K222" s="1"/>
      <c r="L222" s="1"/>
      <c r="M222" s="11"/>
      <c r="N222" s="1"/>
      <c r="O222" s="1"/>
      <c r="P222" s="1"/>
      <c r="Q222" s="11"/>
      <c r="R222" s="1"/>
      <c r="S222" s="1"/>
      <c r="T222" s="1"/>
      <c r="U222" s="1"/>
      <c r="V222" s="1"/>
      <c r="W222" s="1"/>
      <c r="X222" s="1"/>
      <c r="Y222" s="1"/>
      <c r="Z222" s="1"/>
      <c r="AA222" s="11"/>
      <c r="AB222" s="11"/>
      <c r="AC222" s="1"/>
      <c r="AD222" s="1"/>
      <c r="AE222" s="11"/>
      <c r="AF222" s="11"/>
      <c r="AG222" s="1"/>
      <c r="AH222" s="11"/>
      <c r="AI222" s="11"/>
      <c r="AJ222" s="1"/>
      <c r="AK222" s="1"/>
      <c r="AL222" s="11"/>
      <c r="AM222" s="11"/>
      <c r="AN222" s="1"/>
      <c r="AO222" s="1"/>
      <c r="AP222" s="1"/>
    </row>
    <row x14ac:dyDescent="0.25" r="223" customHeight="1" ht="18.75">
      <c r="A223" s="19">
        <f>+LEN(E303)</f>
      </c>
      <c r="B223" s="20" t="s">
        <v>898</v>
      </c>
      <c r="C223" s="61" t="s">
        <v>899</v>
      </c>
      <c r="D223" s="21" t="s">
        <v>165</v>
      </c>
      <c r="E223" s="62" t="s">
        <v>900</v>
      </c>
      <c r="F223" s="23" t="s">
        <v>127</v>
      </c>
      <c r="G223" s="1"/>
      <c r="H223" s="1"/>
      <c r="I223" s="1"/>
      <c r="J223" s="1"/>
      <c r="K223" s="1"/>
      <c r="L223" s="1"/>
      <c r="M223" s="11"/>
      <c r="N223" s="1"/>
      <c r="O223" s="1"/>
      <c r="P223" s="1"/>
      <c r="Q223" s="11"/>
      <c r="R223" s="1"/>
      <c r="S223" s="1"/>
      <c r="T223" s="1"/>
      <c r="U223" s="1"/>
      <c r="V223" s="1"/>
      <c r="W223" s="1"/>
      <c r="X223" s="1"/>
      <c r="Y223" s="1"/>
      <c r="Z223" s="1"/>
      <c r="AA223" s="11"/>
      <c r="AB223" s="11"/>
      <c r="AC223" s="1"/>
      <c r="AD223" s="1"/>
      <c r="AE223" s="11"/>
      <c r="AF223" s="11"/>
      <c r="AG223" s="1"/>
      <c r="AH223" s="11"/>
      <c r="AI223" s="11"/>
      <c r="AJ223" s="1"/>
      <c r="AK223" s="1"/>
      <c r="AL223" s="11"/>
      <c r="AM223" s="11"/>
      <c r="AN223" s="1"/>
      <c r="AO223" s="1"/>
      <c r="AP223" s="1"/>
    </row>
    <row x14ac:dyDescent="0.25" r="224" customHeight="1" ht="18.75">
      <c r="A224" s="19">
        <f>+LEN(E304)</f>
      </c>
      <c r="B224" s="20" t="s">
        <v>901</v>
      </c>
      <c r="C224" s="61" t="s">
        <v>902</v>
      </c>
      <c r="D224" s="21" t="s">
        <v>137</v>
      </c>
      <c r="E224" s="62" t="s">
        <v>903</v>
      </c>
      <c r="F224" s="23" t="s">
        <v>127</v>
      </c>
      <c r="G224" s="1"/>
      <c r="H224" s="1"/>
      <c r="I224" s="1"/>
      <c r="J224" s="1"/>
      <c r="K224" s="1"/>
      <c r="L224" s="1"/>
      <c r="M224" s="11"/>
      <c r="N224" s="1"/>
      <c r="O224" s="1"/>
      <c r="P224" s="1"/>
      <c r="Q224" s="11"/>
      <c r="R224" s="1"/>
      <c r="S224" s="1"/>
      <c r="T224" s="1"/>
      <c r="U224" s="1"/>
      <c r="V224" s="1"/>
      <c r="W224" s="1"/>
      <c r="X224" s="1"/>
      <c r="Y224" s="1"/>
      <c r="Z224" s="1"/>
      <c r="AA224" s="11"/>
      <c r="AB224" s="11"/>
      <c r="AC224" s="1"/>
      <c r="AD224" s="1"/>
      <c r="AE224" s="11"/>
      <c r="AF224" s="11"/>
      <c r="AG224" s="1"/>
      <c r="AH224" s="11"/>
      <c r="AI224" s="11"/>
      <c r="AJ224" s="1"/>
      <c r="AK224" s="1"/>
      <c r="AL224" s="11"/>
      <c r="AM224" s="11"/>
      <c r="AN224" s="1"/>
      <c r="AO224" s="1"/>
      <c r="AP224" s="1"/>
    </row>
    <row x14ac:dyDescent="0.25" r="225" customHeight="1" ht="18.75">
      <c r="A225" s="19">
        <f>+LEN(E305)</f>
      </c>
      <c r="B225" s="20" t="s">
        <v>904</v>
      </c>
      <c r="C225" s="61" t="s">
        <v>905</v>
      </c>
      <c r="D225" s="21" t="s">
        <v>165</v>
      </c>
      <c r="E225" s="62" t="s">
        <v>906</v>
      </c>
      <c r="F225" s="23" t="s">
        <v>127</v>
      </c>
      <c r="G225" s="1"/>
      <c r="H225" s="1"/>
      <c r="I225" s="1"/>
      <c r="J225" s="1"/>
      <c r="K225" s="1"/>
      <c r="L225" s="1"/>
      <c r="M225" s="11"/>
      <c r="N225" s="1"/>
      <c r="O225" s="1"/>
      <c r="P225" s="1"/>
      <c r="Q225" s="11"/>
      <c r="R225" s="1"/>
      <c r="S225" s="1"/>
      <c r="T225" s="1"/>
      <c r="U225" s="1"/>
      <c r="V225" s="1"/>
      <c r="W225" s="1"/>
      <c r="X225" s="1"/>
      <c r="Y225" s="1"/>
      <c r="Z225" s="1"/>
      <c r="AA225" s="11"/>
      <c r="AB225" s="11"/>
      <c r="AC225" s="1"/>
      <c r="AD225" s="1"/>
      <c r="AE225" s="11"/>
      <c r="AF225" s="11"/>
      <c r="AG225" s="1"/>
      <c r="AH225" s="11"/>
      <c r="AI225" s="11"/>
      <c r="AJ225" s="1"/>
      <c r="AK225" s="1"/>
      <c r="AL225" s="11"/>
      <c r="AM225" s="11"/>
      <c r="AN225" s="1"/>
      <c r="AO225" s="1"/>
      <c r="AP225" s="1"/>
    </row>
    <row x14ac:dyDescent="0.25" r="226" customHeight="1" ht="18.75">
      <c r="A226" s="19">
        <f>+LEN(E306)</f>
      </c>
      <c r="B226" s="20" t="s">
        <v>907</v>
      </c>
      <c r="C226" s="61" t="s">
        <v>908</v>
      </c>
      <c r="D226" s="21" t="s">
        <v>137</v>
      </c>
      <c r="E226" s="62" t="s">
        <v>909</v>
      </c>
      <c r="F226" s="23" t="s">
        <v>127</v>
      </c>
      <c r="G226" s="1"/>
      <c r="H226" s="1"/>
      <c r="I226" s="1"/>
      <c r="J226" s="1"/>
      <c r="K226" s="1"/>
      <c r="L226" s="1"/>
      <c r="M226" s="11"/>
      <c r="N226" s="1"/>
      <c r="O226" s="1"/>
      <c r="P226" s="1"/>
      <c r="Q226" s="11"/>
      <c r="R226" s="1"/>
      <c r="S226" s="1"/>
      <c r="T226" s="1"/>
      <c r="U226" s="1"/>
      <c r="V226" s="1"/>
      <c r="W226" s="1"/>
      <c r="X226" s="1"/>
      <c r="Y226" s="1"/>
      <c r="Z226" s="1"/>
      <c r="AA226" s="11"/>
      <c r="AB226" s="11"/>
      <c r="AC226" s="1"/>
      <c r="AD226" s="1"/>
      <c r="AE226" s="11"/>
      <c r="AF226" s="11"/>
      <c r="AG226" s="1"/>
      <c r="AH226" s="11"/>
      <c r="AI226" s="11"/>
      <c r="AJ226" s="1"/>
      <c r="AK226" s="1"/>
      <c r="AL226" s="11"/>
      <c r="AM226" s="11"/>
      <c r="AN226" s="1"/>
      <c r="AO226" s="1"/>
      <c r="AP226" s="1"/>
    </row>
    <row x14ac:dyDescent="0.25" r="227" customHeight="1" ht="18.75">
      <c r="A227" s="19">
        <f>+LEN(E307)</f>
      </c>
      <c r="B227" s="20" t="s">
        <v>910</v>
      </c>
      <c r="C227" s="61" t="s">
        <v>911</v>
      </c>
      <c r="D227" s="21" t="s">
        <v>137</v>
      </c>
      <c r="E227" s="62" t="s">
        <v>912</v>
      </c>
      <c r="F227" s="23" t="s">
        <v>127</v>
      </c>
      <c r="G227" s="1"/>
      <c r="H227" s="1"/>
      <c r="I227" s="1"/>
      <c r="J227" s="1"/>
      <c r="K227" s="1"/>
      <c r="L227" s="1"/>
      <c r="M227" s="11"/>
      <c r="N227" s="1"/>
      <c r="O227" s="1"/>
      <c r="P227" s="1"/>
      <c r="Q227" s="11"/>
      <c r="R227" s="1"/>
      <c r="S227" s="1"/>
      <c r="T227" s="1"/>
      <c r="U227" s="1"/>
      <c r="V227" s="1"/>
      <c r="W227" s="1"/>
      <c r="X227" s="1"/>
      <c r="Y227" s="1"/>
      <c r="Z227" s="1"/>
      <c r="AA227" s="11"/>
      <c r="AB227" s="11"/>
      <c r="AC227" s="1"/>
      <c r="AD227" s="1"/>
      <c r="AE227" s="11"/>
      <c r="AF227" s="11"/>
      <c r="AG227" s="1"/>
      <c r="AH227" s="11"/>
      <c r="AI227" s="11"/>
      <c r="AJ227" s="1"/>
      <c r="AK227" s="1"/>
      <c r="AL227" s="11"/>
      <c r="AM227" s="11"/>
      <c r="AN227" s="1"/>
      <c r="AO227" s="1"/>
      <c r="AP227" s="1"/>
    </row>
    <row x14ac:dyDescent="0.25" r="228" customHeight="1" ht="18.75">
      <c r="A228" s="19">
        <f>+LEN(E308)</f>
      </c>
      <c r="B228" s="20" t="s">
        <v>913</v>
      </c>
      <c r="C228" s="61" t="s">
        <v>914</v>
      </c>
      <c r="D228" s="21" t="s">
        <v>165</v>
      </c>
      <c r="E228" s="62" t="s">
        <v>915</v>
      </c>
      <c r="F228" s="23" t="s">
        <v>127</v>
      </c>
      <c r="G228" s="1"/>
      <c r="H228" s="1"/>
      <c r="I228" s="1"/>
      <c r="J228" s="1"/>
      <c r="K228" s="1"/>
      <c r="L228" s="1"/>
      <c r="M228" s="11"/>
      <c r="N228" s="1"/>
      <c r="O228" s="1"/>
      <c r="P228" s="1"/>
      <c r="Q228" s="11"/>
      <c r="R228" s="1"/>
      <c r="S228" s="1"/>
      <c r="T228" s="1"/>
      <c r="U228" s="1"/>
      <c r="V228" s="1"/>
      <c r="W228" s="1"/>
      <c r="X228" s="1"/>
      <c r="Y228" s="1"/>
      <c r="Z228" s="1"/>
      <c r="AA228" s="11"/>
      <c r="AB228" s="11"/>
      <c r="AC228" s="1"/>
      <c r="AD228" s="1"/>
      <c r="AE228" s="11"/>
      <c r="AF228" s="11"/>
      <c r="AG228" s="1"/>
      <c r="AH228" s="11"/>
      <c r="AI228" s="11"/>
      <c r="AJ228" s="1"/>
      <c r="AK228" s="1"/>
      <c r="AL228" s="11"/>
      <c r="AM228" s="11"/>
      <c r="AN228" s="1"/>
      <c r="AO228" s="1"/>
      <c r="AP228" s="1"/>
    </row>
    <row x14ac:dyDescent="0.25" r="229" customHeight="1" ht="18.75">
      <c r="A229" s="19">
        <f>+LEN(E309)</f>
      </c>
      <c r="B229" s="20" t="s">
        <v>916</v>
      </c>
      <c r="C229" s="61" t="s">
        <v>917</v>
      </c>
      <c r="D229" s="21" t="s">
        <v>165</v>
      </c>
      <c r="E229" s="62" t="s">
        <v>918</v>
      </c>
      <c r="F229" s="23" t="s">
        <v>127</v>
      </c>
      <c r="G229" s="1"/>
      <c r="H229" s="1"/>
      <c r="I229" s="1"/>
      <c r="J229" s="1"/>
      <c r="K229" s="1"/>
      <c r="L229" s="1"/>
      <c r="M229" s="11"/>
      <c r="N229" s="1"/>
      <c r="O229" s="1"/>
      <c r="P229" s="1"/>
      <c r="Q229" s="11"/>
      <c r="R229" s="1"/>
      <c r="S229" s="1"/>
      <c r="T229" s="1"/>
      <c r="U229" s="1"/>
      <c r="V229" s="1"/>
      <c r="W229" s="1"/>
      <c r="X229" s="1"/>
      <c r="Y229" s="1"/>
      <c r="Z229" s="1"/>
      <c r="AA229" s="11"/>
      <c r="AB229" s="11"/>
      <c r="AC229" s="1"/>
      <c r="AD229" s="1"/>
      <c r="AE229" s="11"/>
      <c r="AF229" s="11"/>
      <c r="AG229" s="1"/>
      <c r="AH229" s="11"/>
      <c r="AI229" s="11"/>
      <c r="AJ229" s="1"/>
      <c r="AK229" s="1"/>
      <c r="AL229" s="11"/>
      <c r="AM229" s="11"/>
      <c r="AN229" s="1"/>
      <c r="AO229" s="1"/>
      <c r="AP229" s="1"/>
    </row>
    <row x14ac:dyDescent="0.25" r="230" customHeight="1" ht="18.75">
      <c r="A230" s="19">
        <f>+LEN(E310)</f>
      </c>
      <c r="B230" s="57" t="s">
        <v>919</v>
      </c>
      <c r="C230" s="63" t="s">
        <v>863</v>
      </c>
      <c r="D230" s="58" t="s">
        <v>165</v>
      </c>
      <c r="E230" s="64" t="s">
        <v>864</v>
      </c>
      <c r="F230" s="60" t="s">
        <v>127</v>
      </c>
      <c r="G230" s="1"/>
      <c r="H230" s="1"/>
      <c r="I230" s="1"/>
      <c r="J230" s="1"/>
      <c r="K230" s="1"/>
      <c r="L230" s="1"/>
      <c r="M230" s="11"/>
      <c r="N230" s="1"/>
      <c r="O230" s="1"/>
      <c r="P230" s="1"/>
      <c r="Q230" s="11"/>
      <c r="R230" s="1"/>
      <c r="S230" s="1"/>
      <c r="T230" s="1"/>
      <c r="U230" s="1"/>
      <c r="V230" s="1"/>
      <c r="W230" s="1"/>
      <c r="X230" s="1"/>
      <c r="Y230" s="1"/>
      <c r="Z230" s="1"/>
      <c r="AA230" s="11"/>
      <c r="AB230" s="11"/>
      <c r="AC230" s="1"/>
      <c r="AD230" s="1"/>
      <c r="AE230" s="11"/>
      <c r="AF230" s="11"/>
      <c r="AG230" s="1"/>
      <c r="AH230" s="11"/>
      <c r="AI230" s="11"/>
      <c r="AJ230" s="1"/>
      <c r="AK230" s="1"/>
      <c r="AL230" s="11"/>
      <c r="AM230" s="11"/>
      <c r="AN230" s="1"/>
      <c r="AO230" s="1"/>
      <c r="AP230" s="1"/>
    </row>
    <row x14ac:dyDescent="0.25" r="231" customHeight="1" ht="18.75">
      <c r="A231" s="65">
        <f>+LEN(E311)</f>
      </c>
      <c r="B231" s="57" t="s">
        <v>920</v>
      </c>
      <c r="C231" s="58" t="s">
        <v>921</v>
      </c>
      <c r="D231" s="58" t="s">
        <v>165</v>
      </c>
      <c r="E231" s="59" t="s">
        <v>922</v>
      </c>
      <c r="F231" s="60" t="s">
        <v>127</v>
      </c>
      <c r="G231" s="1"/>
      <c r="H231" s="1"/>
      <c r="I231" s="1"/>
      <c r="J231" s="1"/>
      <c r="K231" s="1"/>
      <c r="L231" s="1"/>
      <c r="M231" s="18"/>
      <c r="N231" s="13"/>
      <c r="O231" s="1"/>
      <c r="P231" s="1"/>
      <c r="Q231" s="11"/>
      <c r="R231" s="1"/>
      <c r="S231" s="1"/>
      <c r="T231" s="1"/>
      <c r="U231" s="1"/>
      <c r="V231" s="1"/>
      <c r="W231" s="1"/>
      <c r="X231" s="1"/>
      <c r="Y231" s="1"/>
      <c r="Z231" s="1"/>
      <c r="AA231" s="11"/>
      <c r="AB231" s="11"/>
      <c r="AC231" s="1"/>
      <c r="AD231" s="1"/>
      <c r="AE231" s="11"/>
      <c r="AF231" s="11"/>
      <c r="AG231" s="1"/>
      <c r="AH231" s="11"/>
      <c r="AI231" s="11"/>
      <c r="AJ231" s="1"/>
      <c r="AK231" s="1"/>
      <c r="AL231" s="11"/>
      <c r="AM231" s="11"/>
      <c r="AN231" s="1"/>
      <c r="AO231" s="1"/>
      <c r="AP231" s="1"/>
    </row>
    <row x14ac:dyDescent="0.25" r="232" customHeight="1" ht="18.75">
      <c r="A232" s="65">
        <f>+LEN(E312)</f>
      </c>
      <c r="B232" s="57" t="s">
        <v>923</v>
      </c>
      <c r="C232" s="58" t="s">
        <v>924</v>
      </c>
      <c r="D232" s="58" t="s">
        <v>165</v>
      </c>
      <c r="E232" s="59" t="s">
        <v>925</v>
      </c>
      <c r="F232" s="60" t="s">
        <v>127</v>
      </c>
      <c r="G232" s="1"/>
      <c r="H232" s="1"/>
      <c r="I232" s="1"/>
      <c r="J232" s="1"/>
      <c r="K232" s="1"/>
      <c r="L232" s="1"/>
      <c r="M232" s="18"/>
      <c r="N232" s="13"/>
      <c r="O232" s="1"/>
      <c r="P232" s="1"/>
      <c r="Q232" s="11"/>
      <c r="R232" s="1"/>
      <c r="S232" s="1"/>
      <c r="T232" s="1"/>
      <c r="U232" s="1"/>
      <c r="V232" s="1"/>
      <c r="W232" s="1"/>
      <c r="X232" s="1"/>
      <c r="Y232" s="1"/>
      <c r="Z232" s="1"/>
      <c r="AA232" s="11"/>
      <c r="AB232" s="11"/>
      <c r="AC232" s="1"/>
      <c r="AD232" s="1"/>
      <c r="AE232" s="11"/>
      <c r="AF232" s="11"/>
      <c r="AG232" s="1"/>
      <c r="AH232" s="11"/>
      <c r="AI232" s="11"/>
      <c r="AJ232" s="1"/>
      <c r="AK232" s="1"/>
      <c r="AL232" s="11"/>
      <c r="AM232" s="11"/>
      <c r="AN232" s="1"/>
      <c r="AO232" s="1"/>
      <c r="AP232" s="1"/>
    </row>
    <row x14ac:dyDescent="0.25" r="233" customHeight="1" ht="18.75">
      <c r="A233" s="65">
        <f>+LEN(E313)</f>
      </c>
      <c r="B233" s="57" t="s">
        <v>926</v>
      </c>
      <c r="C233" s="58" t="s">
        <v>927</v>
      </c>
      <c r="D233" s="58" t="s">
        <v>165</v>
      </c>
      <c r="E233" s="59" t="s">
        <v>928</v>
      </c>
      <c r="F233" s="60" t="s">
        <v>127</v>
      </c>
      <c r="G233" s="1"/>
      <c r="H233" s="1"/>
      <c r="I233" s="1"/>
      <c r="J233" s="1"/>
      <c r="K233" s="1"/>
      <c r="L233" s="1"/>
      <c r="M233" s="18"/>
      <c r="N233" s="13"/>
      <c r="O233" s="1"/>
      <c r="P233" s="1"/>
      <c r="Q233" s="11"/>
      <c r="R233" s="1"/>
      <c r="S233" s="1"/>
      <c r="T233" s="1"/>
      <c r="U233" s="1"/>
      <c r="V233" s="1"/>
      <c r="W233" s="1"/>
      <c r="X233" s="1"/>
      <c r="Y233" s="1"/>
      <c r="Z233" s="1"/>
      <c r="AA233" s="11"/>
      <c r="AB233" s="11"/>
      <c r="AC233" s="1"/>
      <c r="AD233" s="1"/>
      <c r="AE233" s="11"/>
      <c r="AF233" s="11"/>
      <c r="AG233" s="1"/>
      <c r="AH233" s="11"/>
      <c r="AI233" s="11"/>
      <c r="AJ233" s="1"/>
      <c r="AK233" s="1"/>
      <c r="AL233" s="11"/>
      <c r="AM233" s="11"/>
      <c r="AN233" s="1"/>
      <c r="AO233" s="1"/>
      <c r="AP233" s="1"/>
    </row>
    <row x14ac:dyDescent="0.25" r="234" customHeight="1" ht="18.75">
      <c r="A234" s="65">
        <f>+LEN(E314)</f>
      </c>
      <c r="B234" s="57" t="s">
        <v>929</v>
      </c>
      <c r="C234" s="58" t="s">
        <v>930</v>
      </c>
      <c r="D234" s="58" t="s">
        <v>165</v>
      </c>
      <c r="E234" s="59" t="s">
        <v>931</v>
      </c>
      <c r="F234" s="60" t="s">
        <v>127</v>
      </c>
      <c r="G234" s="1"/>
      <c r="H234" s="1"/>
      <c r="I234" s="1"/>
      <c r="J234" s="1"/>
      <c r="K234" s="1"/>
      <c r="L234" s="1"/>
      <c r="M234" s="18"/>
      <c r="N234" s="13"/>
      <c r="O234" s="1"/>
      <c r="P234" s="1"/>
      <c r="Q234" s="11"/>
      <c r="R234" s="1"/>
      <c r="S234" s="1"/>
      <c r="T234" s="1"/>
      <c r="U234" s="1"/>
      <c r="V234" s="1"/>
      <c r="W234" s="1"/>
      <c r="X234" s="1"/>
      <c r="Y234" s="1"/>
      <c r="Z234" s="1"/>
      <c r="AA234" s="11"/>
      <c r="AB234" s="11"/>
      <c r="AC234" s="1"/>
      <c r="AD234" s="1"/>
      <c r="AE234" s="11"/>
      <c r="AF234" s="11"/>
      <c r="AG234" s="1"/>
      <c r="AH234" s="11"/>
      <c r="AI234" s="11"/>
      <c r="AJ234" s="1"/>
      <c r="AK234" s="1"/>
      <c r="AL234" s="11"/>
      <c r="AM234" s="11"/>
      <c r="AN234" s="1"/>
      <c r="AO234" s="1"/>
      <c r="AP234" s="1"/>
    </row>
    <row x14ac:dyDescent="0.25" r="235" customHeight="1" ht="18.75">
      <c r="A235" s="65">
        <f>+LEN(E315)</f>
      </c>
      <c r="B235" s="57" t="s">
        <v>932</v>
      </c>
      <c r="C235" s="58" t="s">
        <v>933</v>
      </c>
      <c r="D235" s="58" t="s">
        <v>165</v>
      </c>
      <c r="E235" s="59" t="s">
        <v>934</v>
      </c>
      <c r="F235" s="60" t="s">
        <v>127</v>
      </c>
      <c r="G235" s="1"/>
      <c r="H235" s="1"/>
      <c r="I235" s="1"/>
      <c r="J235" s="1"/>
      <c r="K235" s="1"/>
      <c r="L235" s="1"/>
      <c r="M235" s="18"/>
      <c r="N235" s="13"/>
      <c r="O235" s="1"/>
      <c r="P235" s="1"/>
      <c r="Q235" s="11"/>
      <c r="R235" s="1"/>
      <c r="S235" s="1"/>
      <c r="T235" s="1"/>
      <c r="U235" s="1"/>
      <c r="V235" s="1"/>
      <c r="W235" s="1"/>
      <c r="X235" s="1"/>
      <c r="Y235" s="1"/>
      <c r="Z235" s="1"/>
      <c r="AA235" s="11"/>
      <c r="AB235" s="11"/>
      <c r="AC235" s="1"/>
      <c r="AD235" s="1"/>
      <c r="AE235" s="11"/>
      <c r="AF235" s="11"/>
      <c r="AG235" s="1"/>
      <c r="AH235" s="11"/>
      <c r="AI235" s="11"/>
      <c r="AJ235" s="1"/>
      <c r="AK235" s="1"/>
      <c r="AL235" s="11"/>
      <c r="AM235" s="11"/>
      <c r="AN235" s="1"/>
      <c r="AO235" s="1"/>
      <c r="AP235" s="1"/>
    </row>
    <row x14ac:dyDescent="0.25" r="236" customHeight="1" ht="18.75">
      <c r="A236" s="19">
        <f>+LEN(E236)</f>
      </c>
      <c r="B236" s="57" t="s">
        <v>935</v>
      </c>
      <c r="C236" s="58" t="s">
        <v>936</v>
      </c>
      <c r="D236" s="58" t="s">
        <v>165</v>
      </c>
      <c r="E236" s="59" t="s">
        <v>937</v>
      </c>
      <c r="F236" s="60" t="s">
        <v>127</v>
      </c>
      <c r="G236" s="1"/>
      <c r="H236" s="1"/>
      <c r="I236" s="1"/>
      <c r="J236" s="1"/>
      <c r="K236" s="1"/>
      <c r="L236" s="1"/>
      <c r="M236" s="11"/>
      <c r="N236" s="1"/>
      <c r="O236" s="1"/>
      <c r="P236" s="1"/>
      <c r="Q236" s="11"/>
      <c r="R236" s="1"/>
      <c r="S236" s="1"/>
      <c r="T236" s="1"/>
      <c r="U236" s="1"/>
      <c r="V236" s="1"/>
      <c r="W236" s="1"/>
      <c r="X236" s="1"/>
      <c r="Y236" s="1"/>
      <c r="Z236" s="1"/>
      <c r="AA236" s="11"/>
      <c r="AB236" s="11"/>
      <c r="AC236" s="1"/>
      <c r="AD236" s="1"/>
      <c r="AE236" s="11"/>
      <c r="AF236" s="11"/>
      <c r="AG236" s="1"/>
      <c r="AH236" s="11"/>
      <c r="AI236" s="11"/>
      <c r="AJ236" s="1"/>
      <c r="AK236" s="1"/>
      <c r="AL236" s="11"/>
      <c r="AM236" s="11"/>
      <c r="AN236" s="1"/>
      <c r="AO236" s="1"/>
      <c r="AP236" s="1"/>
    </row>
    <row x14ac:dyDescent="0.25" r="237" customHeight="1" ht="18.75">
      <c r="A237" s="19">
        <f>+LEN(E237)</f>
      </c>
      <c r="B237" s="57" t="s">
        <v>938</v>
      </c>
      <c r="C237" s="58" t="s">
        <v>939</v>
      </c>
      <c r="D237" s="58" t="s">
        <v>165</v>
      </c>
      <c r="E237" s="59" t="s">
        <v>940</v>
      </c>
      <c r="F237" s="60" t="s">
        <v>127</v>
      </c>
      <c r="G237" s="1"/>
      <c r="H237" s="1"/>
      <c r="I237" s="1"/>
      <c r="J237" s="1"/>
      <c r="K237" s="1"/>
      <c r="L237" s="1"/>
      <c r="M237" s="11"/>
      <c r="N237" s="1"/>
      <c r="O237" s="1"/>
      <c r="P237" s="1"/>
      <c r="Q237" s="11"/>
      <c r="R237" s="1"/>
      <c r="S237" s="1"/>
      <c r="T237" s="1"/>
      <c r="U237" s="1"/>
      <c r="V237" s="1"/>
      <c r="W237" s="1"/>
      <c r="X237" s="1"/>
      <c r="Y237" s="1"/>
      <c r="Z237" s="1"/>
      <c r="AA237" s="11"/>
      <c r="AB237" s="11"/>
      <c r="AC237" s="1"/>
      <c r="AD237" s="1"/>
      <c r="AE237" s="11"/>
      <c r="AF237" s="11"/>
      <c r="AG237" s="1"/>
      <c r="AH237" s="11"/>
      <c r="AI237" s="11"/>
      <c r="AJ237" s="1"/>
      <c r="AK237" s="1"/>
      <c r="AL237" s="11"/>
      <c r="AM237" s="11"/>
      <c r="AN237" s="1"/>
      <c r="AO237" s="1"/>
      <c r="AP237" s="1"/>
    </row>
    <row x14ac:dyDescent="0.25" r="238" customHeight="1" ht="18.75">
      <c r="A238" s="19">
        <f>+LEN(E238)</f>
      </c>
      <c r="B238" s="57" t="s">
        <v>941</v>
      </c>
      <c r="C238" s="58" t="s">
        <v>942</v>
      </c>
      <c r="D238" s="58" t="s">
        <v>137</v>
      </c>
      <c r="E238" s="59" t="s">
        <v>943</v>
      </c>
      <c r="F238" s="60" t="s">
        <v>127</v>
      </c>
      <c r="G238" s="1"/>
      <c r="H238" s="1"/>
      <c r="I238" s="1"/>
      <c r="J238" s="1"/>
      <c r="K238" s="1"/>
      <c r="L238" s="1"/>
      <c r="M238" s="11"/>
      <c r="N238" s="1"/>
      <c r="O238" s="1"/>
      <c r="P238" s="1"/>
      <c r="Q238" s="11"/>
      <c r="R238" s="1"/>
      <c r="S238" s="1"/>
      <c r="T238" s="1"/>
      <c r="U238" s="1"/>
      <c r="V238" s="1"/>
      <c r="W238" s="1"/>
      <c r="X238" s="1"/>
      <c r="Y238" s="1"/>
      <c r="Z238" s="1"/>
      <c r="AA238" s="11"/>
      <c r="AB238" s="11"/>
      <c r="AC238" s="1"/>
      <c r="AD238" s="1"/>
      <c r="AE238" s="11"/>
      <c r="AF238" s="11"/>
      <c r="AG238" s="1"/>
      <c r="AH238" s="11"/>
      <c r="AI238" s="11"/>
      <c r="AJ238" s="1"/>
      <c r="AK238" s="1"/>
      <c r="AL238" s="11"/>
      <c r="AM238" s="11"/>
      <c r="AN238" s="1"/>
      <c r="AO238" s="1"/>
      <c r="AP238" s="1"/>
    </row>
    <row x14ac:dyDescent="0.25" r="239" customHeight="1" ht="18.75">
      <c r="A239" s="19">
        <f>+LEN(E239)</f>
      </c>
      <c r="B239" s="57" t="s">
        <v>944</v>
      </c>
      <c r="C239" s="58" t="s">
        <v>945</v>
      </c>
      <c r="D239" s="58" t="s">
        <v>165</v>
      </c>
      <c r="E239" s="59" t="s">
        <v>946</v>
      </c>
      <c r="F239" s="60" t="s">
        <v>127</v>
      </c>
      <c r="G239" s="1"/>
      <c r="H239" s="1"/>
      <c r="I239" s="1"/>
      <c r="J239" s="1"/>
      <c r="K239" s="1"/>
      <c r="L239" s="1"/>
      <c r="M239" s="11"/>
      <c r="N239" s="1"/>
      <c r="O239" s="1"/>
      <c r="P239" s="1"/>
      <c r="Q239" s="11"/>
      <c r="R239" s="1"/>
      <c r="S239" s="1"/>
      <c r="T239" s="1"/>
      <c r="U239" s="1"/>
      <c r="V239" s="1"/>
      <c r="W239" s="1"/>
      <c r="X239" s="1"/>
      <c r="Y239" s="1"/>
      <c r="Z239" s="1"/>
      <c r="AA239" s="11"/>
      <c r="AB239" s="11"/>
      <c r="AC239" s="1"/>
      <c r="AD239" s="1"/>
      <c r="AE239" s="11"/>
      <c r="AF239" s="11"/>
      <c r="AG239" s="1"/>
      <c r="AH239" s="11"/>
      <c r="AI239" s="11"/>
      <c r="AJ239" s="1"/>
      <c r="AK239" s="1"/>
      <c r="AL239" s="11"/>
      <c r="AM239" s="11"/>
      <c r="AN239" s="1"/>
      <c r="AO239" s="1"/>
      <c r="AP239" s="1"/>
    </row>
    <row x14ac:dyDescent="0.25" r="240" customHeight="1" ht="18.75">
      <c r="A240" s="19">
        <f>+LEN(E240)</f>
      </c>
      <c r="B240" s="57" t="s">
        <v>947</v>
      </c>
      <c r="C240" s="58" t="s">
        <v>875</v>
      </c>
      <c r="D240" s="58" t="s">
        <v>137</v>
      </c>
      <c r="E240" s="59" t="s">
        <v>876</v>
      </c>
      <c r="F240" s="60" t="s">
        <v>127</v>
      </c>
      <c r="G240" s="1"/>
      <c r="H240" s="1"/>
      <c r="I240" s="1"/>
      <c r="J240" s="1"/>
      <c r="K240" s="1"/>
      <c r="L240" s="1"/>
      <c r="M240" s="11"/>
      <c r="N240" s="1"/>
      <c r="O240" s="1"/>
      <c r="P240" s="1"/>
      <c r="Q240" s="11"/>
      <c r="R240" s="1"/>
      <c r="S240" s="1"/>
      <c r="T240" s="1"/>
      <c r="U240" s="1"/>
      <c r="V240" s="1"/>
      <c r="W240" s="1"/>
      <c r="X240" s="1"/>
      <c r="Y240" s="1"/>
      <c r="Z240" s="1"/>
      <c r="AA240" s="11"/>
      <c r="AB240" s="11"/>
      <c r="AC240" s="1"/>
      <c r="AD240" s="1"/>
      <c r="AE240" s="11"/>
      <c r="AF240" s="11"/>
      <c r="AG240" s="1"/>
      <c r="AH240" s="11"/>
      <c r="AI240" s="11"/>
      <c r="AJ240" s="1"/>
      <c r="AK240" s="1"/>
      <c r="AL240" s="11"/>
      <c r="AM240" s="11"/>
      <c r="AN240" s="1"/>
      <c r="AO240" s="1"/>
      <c r="AP240" s="1"/>
    </row>
    <row x14ac:dyDescent="0.25" r="241" customHeight="1" ht="18.75">
      <c r="A241" s="19">
        <f>+LEN(E241)</f>
      </c>
      <c r="B241" s="20" t="s">
        <v>948</v>
      </c>
      <c r="C241" s="61" t="s">
        <v>949</v>
      </c>
      <c r="D241" s="21" t="s">
        <v>165</v>
      </c>
      <c r="E241" s="62" t="s">
        <v>950</v>
      </c>
      <c r="F241" s="23" t="s">
        <v>127</v>
      </c>
      <c r="G241" s="1"/>
      <c r="H241" s="1"/>
      <c r="I241" s="1"/>
      <c r="J241" s="1"/>
      <c r="K241" s="1"/>
      <c r="L241" s="1"/>
      <c r="M241" s="11"/>
      <c r="N241" s="1"/>
      <c r="O241" s="1"/>
      <c r="P241" s="1"/>
      <c r="Q241" s="11"/>
      <c r="R241" s="1"/>
      <c r="S241" s="1"/>
      <c r="T241" s="1"/>
      <c r="U241" s="1"/>
      <c r="V241" s="1"/>
      <c r="W241" s="1"/>
      <c r="X241" s="1"/>
      <c r="Y241" s="1"/>
      <c r="Z241" s="1"/>
      <c r="AA241" s="11"/>
      <c r="AB241" s="11"/>
      <c r="AC241" s="1"/>
      <c r="AD241" s="1"/>
      <c r="AE241" s="11"/>
      <c r="AF241" s="11"/>
      <c r="AG241" s="1"/>
      <c r="AH241" s="11"/>
      <c r="AI241" s="11"/>
      <c r="AJ241" s="1"/>
      <c r="AK241" s="1"/>
      <c r="AL241" s="11"/>
      <c r="AM241" s="11"/>
      <c r="AN241" s="1"/>
      <c r="AO241" s="1"/>
      <c r="AP241" s="1"/>
    </row>
    <row x14ac:dyDescent="0.25" r="242" customHeight="1" ht="18.75">
      <c r="A242" s="19">
        <f>+LEN(E242)</f>
      </c>
      <c r="B242" s="20" t="s">
        <v>951</v>
      </c>
      <c r="C242" s="61" t="s">
        <v>952</v>
      </c>
      <c r="D242" s="21"/>
      <c r="E242" s="66"/>
      <c r="F242" s="67"/>
      <c r="G242" s="1"/>
      <c r="H242" s="1"/>
      <c r="I242" s="1"/>
      <c r="J242" s="1"/>
      <c r="K242" s="1"/>
      <c r="L242" s="1"/>
      <c r="M242" s="11"/>
      <c r="N242" s="1"/>
      <c r="O242" s="1"/>
      <c r="P242" s="1"/>
      <c r="Q242" s="11"/>
      <c r="R242" s="1"/>
      <c r="S242" s="1"/>
      <c r="T242" s="1"/>
      <c r="U242" s="1"/>
      <c r="V242" s="1"/>
      <c r="W242" s="1"/>
      <c r="X242" s="1"/>
      <c r="Y242" s="1"/>
      <c r="Z242" s="1"/>
      <c r="AA242" s="11"/>
      <c r="AB242" s="11"/>
      <c r="AC242" s="1"/>
      <c r="AD242" s="1"/>
      <c r="AE242" s="11"/>
      <c r="AF242" s="11"/>
      <c r="AG242" s="1"/>
      <c r="AH242" s="11"/>
      <c r="AI242" s="11"/>
      <c r="AJ242" s="1"/>
      <c r="AK242" s="1"/>
      <c r="AL242" s="11"/>
      <c r="AM242" s="11"/>
      <c r="AN242" s="1"/>
      <c r="AO242" s="1"/>
      <c r="AP242" s="1"/>
    </row>
    <row x14ac:dyDescent="0.25" r="243" customHeight="1" ht="18.75">
      <c r="A243" s="19">
        <f>+LEN(E243)</f>
      </c>
      <c r="B243" s="20" t="s">
        <v>953</v>
      </c>
      <c r="C243" s="61" t="s">
        <v>954</v>
      </c>
      <c r="D243" s="21" t="s">
        <v>137</v>
      </c>
      <c r="E243" s="62" t="s">
        <v>955</v>
      </c>
      <c r="F243" s="23" t="s">
        <v>127</v>
      </c>
      <c r="G243" s="1"/>
      <c r="H243" s="1"/>
      <c r="I243" s="1"/>
      <c r="J243" s="1"/>
      <c r="K243" s="1"/>
      <c r="L243" s="1"/>
      <c r="M243" s="11"/>
      <c r="N243" s="1"/>
      <c r="O243" s="1"/>
      <c r="P243" s="1"/>
      <c r="Q243" s="11"/>
      <c r="R243" s="1"/>
      <c r="S243" s="1"/>
      <c r="T243" s="1"/>
      <c r="U243" s="1"/>
      <c r="V243" s="1"/>
      <c r="W243" s="1"/>
      <c r="X243" s="1"/>
      <c r="Y243" s="1"/>
      <c r="Z243" s="1"/>
      <c r="AA243" s="11"/>
      <c r="AB243" s="11"/>
      <c r="AC243" s="1"/>
      <c r="AD243" s="1"/>
      <c r="AE243" s="11"/>
      <c r="AF243" s="11"/>
      <c r="AG243" s="1"/>
      <c r="AH243" s="11"/>
      <c r="AI243" s="11"/>
      <c r="AJ243" s="1"/>
      <c r="AK243" s="1"/>
      <c r="AL243" s="11"/>
      <c r="AM243" s="11"/>
      <c r="AN243" s="1"/>
      <c r="AO243" s="1"/>
      <c r="AP243" s="1"/>
    </row>
    <row x14ac:dyDescent="0.25" r="244" customHeight="1" ht="18.75">
      <c r="A244" s="19">
        <f>+LEN(E244)</f>
      </c>
      <c r="B244" s="20" t="s">
        <v>956</v>
      </c>
      <c r="C244" s="61" t="s">
        <v>957</v>
      </c>
      <c r="D244" s="21" t="s">
        <v>165</v>
      </c>
      <c r="E244" s="62" t="s">
        <v>958</v>
      </c>
      <c r="F244" s="23" t="s">
        <v>127</v>
      </c>
      <c r="G244" s="1"/>
      <c r="H244" s="1"/>
      <c r="I244" s="1"/>
      <c r="J244" s="1"/>
      <c r="K244" s="1"/>
      <c r="L244" s="1"/>
      <c r="M244" s="11"/>
      <c r="N244" s="1"/>
      <c r="O244" s="1"/>
      <c r="P244" s="1"/>
      <c r="Q244" s="11"/>
      <c r="R244" s="1"/>
      <c r="S244" s="1"/>
      <c r="T244" s="1"/>
      <c r="U244" s="1"/>
      <c r="V244" s="1"/>
      <c r="W244" s="1"/>
      <c r="X244" s="1"/>
      <c r="Y244" s="1"/>
      <c r="Z244" s="1"/>
      <c r="AA244" s="11"/>
      <c r="AB244" s="11"/>
      <c r="AC244" s="1"/>
      <c r="AD244" s="1"/>
      <c r="AE244" s="11"/>
      <c r="AF244" s="11"/>
      <c r="AG244" s="1"/>
      <c r="AH244" s="11"/>
      <c r="AI244" s="11"/>
      <c r="AJ244" s="1"/>
      <c r="AK244" s="1"/>
      <c r="AL244" s="11"/>
      <c r="AM244" s="11"/>
      <c r="AN244" s="1"/>
      <c r="AO244" s="1"/>
      <c r="AP244" s="1"/>
    </row>
    <row x14ac:dyDescent="0.25" r="245" customHeight="1" ht="18.75">
      <c r="A245" s="19">
        <f>+LEN(E245)</f>
      </c>
      <c r="B245" s="20" t="s">
        <v>959</v>
      </c>
      <c r="C245" s="61" t="s">
        <v>654</v>
      </c>
      <c r="D245" s="21" t="s">
        <v>165</v>
      </c>
      <c r="E245" s="62" t="s">
        <v>655</v>
      </c>
      <c r="F245" s="23" t="s">
        <v>127</v>
      </c>
      <c r="G245" s="1"/>
      <c r="H245" s="1"/>
      <c r="I245" s="1"/>
      <c r="J245" s="1"/>
      <c r="K245" s="1"/>
      <c r="L245" s="1"/>
      <c r="M245" s="11"/>
      <c r="N245" s="1"/>
      <c r="O245" s="1"/>
      <c r="P245" s="1"/>
      <c r="Q245" s="11"/>
      <c r="R245" s="1"/>
      <c r="S245" s="1"/>
      <c r="T245" s="1"/>
      <c r="U245" s="1"/>
      <c r="V245" s="1"/>
      <c r="W245" s="1"/>
      <c r="X245" s="1"/>
      <c r="Y245" s="1"/>
      <c r="Z245" s="1"/>
      <c r="AA245" s="11"/>
      <c r="AB245" s="11"/>
      <c r="AC245" s="1"/>
      <c r="AD245" s="1"/>
      <c r="AE245" s="11"/>
      <c r="AF245" s="11"/>
      <c r="AG245" s="1"/>
      <c r="AH245" s="11"/>
      <c r="AI245" s="11"/>
      <c r="AJ245" s="1"/>
      <c r="AK245" s="1"/>
      <c r="AL245" s="11"/>
      <c r="AM245" s="11"/>
      <c r="AN245" s="1"/>
      <c r="AO245" s="1"/>
      <c r="AP245" s="1"/>
    </row>
    <row x14ac:dyDescent="0.25" r="246" customHeight="1" ht="18.75">
      <c r="A246" s="19">
        <f>+LEN(E246)</f>
      </c>
      <c r="B246" s="20" t="s">
        <v>960</v>
      </c>
      <c r="C246" s="61" t="s">
        <v>961</v>
      </c>
      <c r="D246" s="21"/>
      <c r="E246" s="66"/>
      <c r="F246" s="67"/>
      <c r="G246" s="1"/>
      <c r="H246" s="1"/>
      <c r="I246" s="1"/>
      <c r="J246" s="1"/>
      <c r="K246" s="1"/>
      <c r="L246" s="1"/>
      <c r="M246" s="11"/>
      <c r="N246" s="1"/>
      <c r="O246" s="1"/>
      <c r="P246" s="1"/>
      <c r="Q246" s="11"/>
      <c r="R246" s="1"/>
      <c r="S246" s="1"/>
      <c r="T246" s="1"/>
      <c r="U246" s="1"/>
      <c r="V246" s="1"/>
      <c r="W246" s="1"/>
      <c r="X246" s="1"/>
      <c r="Y246" s="1"/>
      <c r="Z246" s="1"/>
      <c r="AA246" s="11"/>
      <c r="AB246" s="11"/>
      <c r="AC246" s="1"/>
      <c r="AD246" s="1"/>
      <c r="AE246" s="11"/>
      <c r="AF246" s="11"/>
      <c r="AG246" s="1"/>
      <c r="AH246" s="11"/>
      <c r="AI246" s="11"/>
      <c r="AJ246" s="1"/>
      <c r="AK246" s="1"/>
      <c r="AL246" s="11"/>
      <c r="AM246" s="11"/>
      <c r="AN246" s="1"/>
      <c r="AO246" s="1"/>
      <c r="AP246" s="1"/>
    </row>
    <row x14ac:dyDescent="0.25" r="247" customHeight="1" ht="18.75">
      <c r="A247" s="19">
        <f>+LEN(E247)</f>
      </c>
      <c r="B247" s="20" t="s">
        <v>962</v>
      </c>
      <c r="C247" s="61" t="s">
        <v>963</v>
      </c>
      <c r="D247" s="21" t="s">
        <v>137</v>
      </c>
      <c r="E247" s="62" t="s">
        <v>964</v>
      </c>
      <c r="F247" s="23" t="s">
        <v>127</v>
      </c>
      <c r="G247" s="1"/>
      <c r="H247" s="1"/>
      <c r="I247" s="1"/>
      <c r="J247" s="1"/>
      <c r="K247" s="1"/>
      <c r="L247" s="1"/>
      <c r="M247" s="11"/>
      <c r="N247" s="1"/>
      <c r="O247" s="1"/>
      <c r="P247" s="1"/>
      <c r="Q247" s="11"/>
      <c r="R247" s="1"/>
      <c r="S247" s="1"/>
      <c r="T247" s="1"/>
      <c r="U247" s="1"/>
      <c r="V247" s="1"/>
      <c r="W247" s="1"/>
      <c r="X247" s="1"/>
      <c r="Y247" s="1"/>
      <c r="Z247" s="1"/>
      <c r="AA247" s="11"/>
      <c r="AB247" s="11"/>
      <c r="AC247" s="1"/>
      <c r="AD247" s="1"/>
      <c r="AE247" s="11"/>
      <c r="AF247" s="11"/>
      <c r="AG247" s="1"/>
      <c r="AH247" s="11"/>
      <c r="AI247" s="11"/>
      <c r="AJ247" s="1"/>
      <c r="AK247" s="1"/>
      <c r="AL247" s="11"/>
      <c r="AM247" s="11"/>
      <c r="AN247" s="1"/>
      <c r="AO247" s="1"/>
      <c r="AP247" s="1"/>
    </row>
    <row x14ac:dyDescent="0.25" r="248" customHeight="1" ht="18.75">
      <c r="A248" s="19">
        <f>+LEN(E248)</f>
      </c>
      <c r="B248" s="20" t="s">
        <v>965</v>
      </c>
      <c r="C248" s="61" t="s">
        <v>966</v>
      </c>
      <c r="D248" s="21" t="s">
        <v>165</v>
      </c>
      <c r="E248" s="62" t="s">
        <v>967</v>
      </c>
      <c r="F248" s="23" t="s">
        <v>127</v>
      </c>
      <c r="G248" s="1"/>
      <c r="H248" s="1"/>
      <c r="I248" s="1"/>
      <c r="J248" s="1"/>
      <c r="K248" s="1"/>
      <c r="L248" s="1"/>
      <c r="M248" s="11"/>
      <c r="N248" s="1"/>
      <c r="O248" s="1"/>
      <c r="P248" s="1"/>
      <c r="Q248" s="11"/>
      <c r="R248" s="1"/>
      <c r="S248" s="1"/>
      <c r="T248" s="1"/>
      <c r="U248" s="1"/>
      <c r="V248" s="1"/>
      <c r="W248" s="1"/>
      <c r="X248" s="1"/>
      <c r="Y248" s="1"/>
      <c r="Z248" s="1"/>
      <c r="AA248" s="11"/>
      <c r="AB248" s="11"/>
      <c r="AC248" s="1"/>
      <c r="AD248" s="1"/>
      <c r="AE248" s="11"/>
      <c r="AF248" s="11"/>
      <c r="AG248" s="1"/>
      <c r="AH248" s="11"/>
      <c r="AI248" s="11"/>
      <c r="AJ248" s="1"/>
      <c r="AK248" s="1"/>
      <c r="AL248" s="11"/>
      <c r="AM248" s="11"/>
      <c r="AN248" s="1"/>
      <c r="AO248" s="1"/>
      <c r="AP248" s="1"/>
    </row>
    <row x14ac:dyDescent="0.25" r="249" customHeight="1" ht="18.75">
      <c r="A249" s="19">
        <f>+LEN(E249)</f>
      </c>
      <c r="B249" s="20" t="s">
        <v>968</v>
      </c>
      <c r="C249" s="61" t="s">
        <v>969</v>
      </c>
      <c r="D249" s="21" t="s">
        <v>165</v>
      </c>
      <c r="E249" s="62" t="s">
        <v>970</v>
      </c>
      <c r="F249" s="23" t="s">
        <v>127</v>
      </c>
      <c r="G249" s="1"/>
      <c r="H249" s="1"/>
      <c r="I249" s="1"/>
      <c r="J249" s="1"/>
      <c r="K249" s="1"/>
      <c r="L249" s="1"/>
      <c r="M249" s="11"/>
      <c r="N249" s="1"/>
      <c r="O249" s="1"/>
      <c r="P249" s="1"/>
      <c r="Q249" s="11"/>
      <c r="R249" s="1"/>
      <c r="S249" s="1"/>
      <c r="T249" s="1"/>
      <c r="U249" s="1"/>
      <c r="V249" s="1"/>
      <c r="W249" s="1"/>
      <c r="X249" s="1"/>
      <c r="Y249" s="1"/>
      <c r="Z249" s="1"/>
      <c r="AA249" s="11"/>
      <c r="AB249" s="11"/>
      <c r="AC249" s="1"/>
      <c r="AD249" s="1"/>
      <c r="AE249" s="11"/>
      <c r="AF249" s="11"/>
      <c r="AG249" s="1"/>
      <c r="AH249" s="11"/>
      <c r="AI249" s="11"/>
      <c r="AJ249" s="1"/>
      <c r="AK249" s="1"/>
      <c r="AL249" s="11"/>
      <c r="AM249" s="11"/>
      <c r="AN249" s="1"/>
      <c r="AO249" s="1"/>
      <c r="AP249" s="1"/>
    </row>
    <row x14ac:dyDescent="0.25" r="250" customHeight="1" ht="18.75">
      <c r="A250" s="19">
        <f>+LEN(E250)</f>
      </c>
      <c r="B250" s="20" t="s">
        <v>971</v>
      </c>
      <c r="C250" s="61" t="s">
        <v>972</v>
      </c>
      <c r="D250" s="21" t="s">
        <v>165</v>
      </c>
      <c r="E250" s="62" t="s">
        <v>973</v>
      </c>
      <c r="F250" s="23" t="s">
        <v>127</v>
      </c>
      <c r="G250" s="1"/>
      <c r="H250" s="1"/>
      <c r="I250" s="1"/>
      <c r="J250" s="1"/>
      <c r="K250" s="1"/>
      <c r="L250" s="1"/>
      <c r="M250" s="11"/>
      <c r="N250" s="1"/>
      <c r="O250" s="1"/>
      <c r="P250" s="1"/>
      <c r="Q250" s="11"/>
      <c r="R250" s="1"/>
      <c r="S250" s="1"/>
      <c r="T250" s="1"/>
      <c r="U250" s="1"/>
      <c r="V250" s="1"/>
      <c r="W250" s="1"/>
      <c r="X250" s="1"/>
      <c r="Y250" s="1"/>
      <c r="Z250" s="1"/>
      <c r="AA250" s="11"/>
      <c r="AB250" s="11"/>
      <c r="AC250" s="1"/>
      <c r="AD250" s="1"/>
      <c r="AE250" s="11"/>
      <c r="AF250" s="11"/>
      <c r="AG250" s="1"/>
      <c r="AH250" s="11"/>
      <c r="AI250" s="11"/>
      <c r="AJ250" s="1"/>
      <c r="AK250" s="1"/>
      <c r="AL250" s="11"/>
      <c r="AM250" s="11"/>
      <c r="AN250" s="1"/>
      <c r="AO250" s="1"/>
      <c r="AP250" s="1"/>
    </row>
    <row x14ac:dyDescent="0.25" r="251" customHeight="1" ht="18.75">
      <c r="A251" s="19">
        <f>+LEN(E251)</f>
      </c>
      <c r="B251" s="20" t="s">
        <v>974</v>
      </c>
      <c r="C251" s="61" t="s">
        <v>975</v>
      </c>
      <c r="D251" s="21"/>
      <c r="E251" s="66"/>
      <c r="F251" s="67"/>
      <c r="G251" s="1"/>
      <c r="H251" s="1"/>
      <c r="I251" s="1"/>
      <c r="J251" s="1"/>
      <c r="K251" s="1"/>
      <c r="L251" s="1"/>
      <c r="M251" s="11"/>
      <c r="N251" s="1"/>
      <c r="O251" s="1"/>
      <c r="P251" s="1"/>
      <c r="Q251" s="11"/>
      <c r="R251" s="1"/>
      <c r="S251" s="1"/>
      <c r="T251" s="1"/>
      <c r="U251" s="1"/>
      <c r="V251" s="1"/>
      <c r="W251" s="1"/>
      <c r="X251" s="1"/>
      <c r="Y251" s="1"/>
      <c r="Z251" s="1"/>
      <c r="AA251" s="11"/>
      <c r="AB251" s="11"/>
      <c r="AC251" s="1"/>
      <c r="AD251" s="1"/>
      <c r="AE251" s="11"/>
      <c r="AF251" s="11"/>
      <c r="AG251" s="1"/>
      <c r="AH251" s="11"/>
      <c r="AI251" s="11"/>
      <c r="AJ251" s="1"/>
      <c r="AK251" s="1"/>
      <c r="AL251" s="11"/>
      <c r="AM251" s="11"/>
      <c r="AN251" s="1"/>
      <c r="AO251" s="1"/>
      <c r="AP251" s="1"/>
    </row>
    <row x14ac:dyDescent="0.25" r="252" customHeight="1" ht="18.75">
      <c r="A252" s="19">
        <f>+LEN(E252)</f>
      </c>
      <c r="B252" s="20" t="s">
        <v>976</v>
      </c>
      <c r="C252" s="61" t="s">
        <v>977</v>
      </c>
      <c r="D252" s="21" t="s">
        <v>165</v>
      </c>
      <c r="E252" s="62" t="s">
        <v>978</v>
      </c>
      <c r="F252" s="23" t="s">
        <v>127</v>
      </c>
      <c r="G252" s="1"/>
      <c r="H252" s="1"/>
      <c r="I252" s="1"/>
      <c r="J252" s="1"/>
      <c r="K252" s="1"/>
      <c r="L252" s="1"/>
      <c r="M252" s="11"/>
      <c r="N252" s="1"/>
      <c r="O252" s="1"/>
      <c r="P252" s="1"/>
      <c r="Q252" s="11"/>
      <c r="R252" s="1"/>
      <c r="S252" s="1"/>
      <c r="T252" s="1"/>
      <c r="U252" s="1"/>
      <c r="V252" s="1"/>
      <c r="W252" s="1"/>
      <c r="X252" s="1"/>
      <c r="Y252" s="1"/>
      <c r="Z252" s="1"/>
      <c r="AA252" s="11"/>
      <c r="AB252" s="11"/>
      <c r="AC252" s="1"/>
      <c r="AD252" s="1"/>
      <c r="AE252" s="11"/>
      <c r="AF252" s="11"/>
      <c r="AG252" s="1"/>
      <c r="AH252" s="11"/>
      <c r="AI252" s="11"/>
      <c r="AJ252" s="1"/>
      <c r="AK252" s="1"/>
      <c r="AL252" s="11"/>
      <c r="AM252" s="11"/>
      <c r="AN252" s="1"/>
      <c r="AO252" s="1"/>
      <c r="AP252" s="1"/>
    </row>
    <row x14ac:dyDescent="0.25" r="253" customHeight="1" ht="18.75">
      <c r="A253" s="19">
        <f>+LEN(E253)</f>
      </c>
      <c r="B253" s="20" t="s">
        <v>979</v>
      </c>
      <c r="C253" s="61" t="s">
        <v>980</v>
      </c>
      <c r="D253" s="21" t="s">
        <v>165</v>
      </c>
      <c r="E253" s="62" t="s">
        <v>981</v>
      </c>
      <c r="F253" s="23" t="s">
        <v>127</v>
      </c>
      <c r="G253" s="1"/>
      <c r="H253" s="1"/>
      <c r="I253" s="1"/>
      <c r="J253" s="1"/>
      <c r="K253" s="1"/>
      <c r="L253" s="1"/>
      <c r="M253" s="11"/>
      <c r="N253" s="1"/>
      <c r="O253" s="1"/>
      <c r="P253" s="1"/>
      <c r="Q253" s="11"/>
      <c r="R253" s="1"/>
      <c r="S253" s="1"/>
      <c r="T253" s="1"/>
      <c r="U253" s="1"/>
      <c r="V253" s="1"/>
      <c r="W253" s="1"/>
      <c r="X253" s="1"/>
      <c r="Y253" s="1"/>
      <c r="Z253" s="1"/>
      <c r="AA253" s="11"/>
      <c r="AB253" s="11"/>
      <c r="AC253" s="1"/>
      <c r="AD253" s="1"/>
      <c r="AE253" s="11"/>
      <c r="AF253" s="11"/>
      <c r="AG253" s="1"/>
      <c r="AH253" s="11"/>
      <c r="AI253" s="11"/>
      <c r="AJ253" s="1"/>
      <c r="AK253" s="1"/>
      <c r="AL253" s="11"/>
      <c r="AM253" s="11"/>
      <c r="AN253" s="1"/>
      <c r="AO253" s="1"/>
      <c r="AP253" s="1"/>
    </row>
    <row x14ac:dyDescent="0.25" r="254" customHeight="1" ht="18.75">
      <c r="A254" s="19">
        <f>+LEN(E254)</f>
      </c>
      <c r="B254" s="20" t="s">
        <v>982</v>
      </c>
      <c r="C254" s="61" t="s">
        <v>983</v>
      </c>
      <c r="D254" s="21" t="s">
        <v>137</v>
      </c>
      <c r="E254" s="62" t="s">
        <v>984</v>
      </c>
      <c r="F254" s="23" t="s">
        <v>127</v>
      </c>
      <c r="G254" s="1"/>
      <c r="H254" s="1"/>
      <c r="I254" s="1"/>
      <c r="J254" s="1"/>
      <c r="K254" s="1"/>
      <c r="L254" s="1"/>
      <c r="M254" s="11"/>
      <c r="N254" s="1"/>
      <c r="O254" s="1"/>
      <c r="P254" s="1"/>
      <c r="Q254" s="11"/>
      <c r="R254" s="1"/>
      <c r="S254" s="1"/>
      <c r="T254" s="1"/>
      <c r="U254" s="1"/>
      <c r="V254" s="1"/>
      <c r="W254" s="1"/>
      <c r="X254" s="1"/>
      <c r="Y254" s="1"/>
      <c r="Z254" s="1"/>
      <c r="AA254" s="11"/>
      <c r="AB254" s="11"/>
      <c r="AC254" s="1"/>
      <c r="AD254" s="1"/>
      <c r="AE254" s="11"/>
      <c r="AF254" s="11"/>
      <c r="AG254" s="1"/>
      <c r="AH254" s="11"/>
      <c r="AI254" s="11"/>
      <c r="AJ254" s="1"/>
      <c r="AK254" s="1"/>
      <c r="AL254" s="11"/>
      <c r="AM254" s="11"/>
      <c r="AN254" s="1"/>
      <c r="AO254" s="1"/>
      <c r="AP254" s="1"/>
    </row>
    <row x14ac:dyDescent="0.25" r="255" customHeight="1" ht="18.75">
      <c r="A255" s="19">
        <f>+LEN(E255)</f>
      </c>
      <c r="B255" s="20" t="s">
        <v>985</v>
      </c>
      <c r="C255" s="61" t="s">
        <v>986</v>
      </c>
      <c r="D255" s="21" t="s">
        <v>137</v>
      </c>
      <c r="E255" s="62" t="s">
        <v>987</v>
      </c>
      <c r="F255" s="23" t="s">
        <v>127</v>
      </c>
      <c r="G255" s="1"/>
      <c r="H255" s="1"/>
      <c r="I255" s="1"/>
      <c r="J255" s="1"/>
      <c r="K255" s="1"/>
      <c r="L255" s="1"/>
      <c r="M255" s="11"/>
      <c r="N255" s="1"/>
      <c r="O255" s="1"/>
      <c r="P255" s="1"/>
      <c r="Q255" s="11"/>
      <c r="R255" s="1"/>
      <c r="S255" s="1"/>
      <c r="T255" s="1"/>
      <c r="U255" s="1"/>
      <c r="V255" s="1"/>
      <c r="W255" s="1"/>
      <c r="X255" s="1"/>
      <c r="Y255" s="1"/>
      <c r="Z255" s="1"/>
      <c r="AA255" s="11"/>
      <c r="AB255" s="11"/>
      <c r="AC255" s="1"/>
      <c r="AD255" s="1"/>
      <c r="AE255" s="11"/>
      <c r="AF255" s="11"/>
      <c r="AG255" s="1"/>
      <c r="AH255" s="11"/>
      <c r="AI255" s="11"/>
      <c r="AJ255" s="1"/>
      <c r="AK255" s="1"/>
      <c r="AL255" s="11"/>
      <c r="AM255" s="11"/>
      <c r="AN255" s="1"/>
      <c r="AO255" s="1"/>
      <c r="AP255" s="1"/>
    </row>
    <row x14ac:dyDescent="0.25" r="256" customHeight="1" ht="18.75">
      <c r="A256" s="19">
        <f>+LEN(E256)</f>
      </c>
      <c r="B256" s="20" t="s">
        <v>988</v>
      </c>
      <c r="C256" s="61" t="s">
        <v>989</v>
      </c>
      <c r="D256" s="21" t="s">
        <v>165</v>
      </c>
      <c r="E256" s="62" t="s">
        <v>990</v>
      </c>
      <c r="F256" s="23" t="s">
        <v>127</v>
      </c>
      <c r="G256" s="1"/>
      <c r="H256" s="1"/>
      <c r="I256" s="1"/>
      <c r="J256" s="1"/>
      <c r="K256" s="1"/>
      <c r="L256" s="1"/>
      <c r="M256" s="11"/>
      <c r="N256" s="1"/>
      <c r="O256" s="1"/>
      <c r="P256" s="1"/>
      <c r="Q256" s="11"/>
      <c r="R256" s="1"/>
      <c r="S256" s="1"/>
      <c r="T256" s="1"/>
      <c r="U256" s="1"/>
      <c r="V256" s="1"/>
      <c r="W256" s="1"/>
      <c r="X256" s="1"/>
      <c r="Y256" s="1"/>
      <c r="Z256" s="1"/>
      <c r="AA256" s="11"/>
      <c r="AB256" s="11"/>
      <c r="AC256" s="1"/>
      <c r="AD256" s="1"/>
      <c r="AE256" s="11"/>
      <c r="AF256" s="11"/>
      <c r="AG256" s="1"/>
      <c r="AH256" s="11"/>
      <c r="AI256" s="11"/>
      <c r="AJ256" s="1"/>
      <c r="AK256" s="1"/>
      <c r="AL256" s="11"/>
      <c r="AM256" s="11"/>
      <c r="AN256" s="1"/>
      <c r="AO256" s="1"/>
      <c r="AP256" s="1"/>
    </row>
    <row x14ac:dyDescent="0.25" r="257" customHeight="1" ht="18.75">
      <c r="A257" s="19">
        <f>+LEN(E257)</f>
      </c>
      <c r="B257" s="20" t="s">
        <v>991</v>
      </c>
      <c r="C257" s="21" t="s">
        <v>992</v>
      </c>
      <c r="D257" s="21" t="s">
        <v>137</v>
      </c>
      <c r="E257" s="22" t="s">
        <v>993</v>
      </c>
      <c r="F257" s="23" t="s">
        <v>127</v>
      </c>
      <c r="G257" s="1"/>
      <c r="H257" s="1"/>
      <c r="I257" s="1"/>
      <c r="J257" s="1"/>
      <c r="K257" s="1"/>
      <c r="L257" s="1"/>
      <c r="M257" s="11"/>
      <c r="N257" s="1"/>
      <c r="O257" s="1"/>
      <c r="P257" s="1"/>
      <c r="Q257" s="11"/>
      <c r="R257" s="1"/>
      <c r="S257" s="1"/>
      <c r="T257" s="1"/>
      <c r="U257" s="1"/>
      <c r="V257" s="1"/>
      <c r="W257" s="1"/>
      <c r="X257" s="1"/>
      <c r="Y257" s="1"/>
      <c r="Z257" s="1"/>
      <c r="AA257" s="11"/>
      <c r="AB257" s="11"/>
      <c r="AC257" s="1"/>
      <c r="AD257" s="1"/>
      <c r="AE257" s="11"/>
      <c r="AF257" s="11"/>
      <c r="AG257" s="1"/>
      <c r="AH257" s="11"/>
      <c r="AI257" s="11"/>
      <c r="AJ257" s="1"/>
      <c r="AK257" s="1"/>
      <c r="AL257" s="11"/>
      <c r="AM257" s="11"/>
      <c r="AN257" s="1"/>
      <c r="AO257" s="1"/>
      <c r="AP257" s="1"/>
    </row>
    <row x14ac:dyDescent="0.25" r="258" customHeight="1" ht="18.75">
      <c r="A258" s="19">
        <f>+LEN(E258)</f>
      </c>
      <c r="B258" s="20" t="s">
        <v>994</v>
      </c>
      <c r="C258" s="21" t="s">
        <v>995</v>
      </c>
      <c r="D258" s="21" t="s">
        <v>137</v>
      </c>
      <c r="E258" s="22" t="s">
        <v>996</v>
      </c>
      <c r="F258" s="23" t="s">
        <v>127</v>
      </c>
      <c r="G258" s="1"/>
      <c r="H258" s="1"/>
      <c r="I258" s="1"/>
      <c r="J258" s="1"/>
      <c r="K258" s="1"/>
      <c r="L258" s="1"/>
      <c r="M258" s="11"/>
      <c r="N258" s="1"/>
      <c r="O258" s="1"/>
      <c r="P258" s="1"/>
      <c r="Q258" s="11"/>
      <c r="R258" s="1"/>
      <c r="S258" s="1"/>
      <c r="T258" s="1"/>
      <c r="U258" s="1"/>
      <c r="V258" s="1"/>
      <c r="W258" s="1"/>
      <c r="X258" s="1"/>
      <c r="Y258" s="1"/>
      <c r="Z258" s="1"/>
      <c r="AA258" s="11"/>
      <c r="AB258" s="11"/>
      <c r="AC258" s="1"/>
      <c r="AD258" s="1"/>
      <c r="AE258" s="11"/>
      <c r="AF258" s="11"/>
      <c r="AG258" s="1"/>
      <c r="AH258" s="11"/>
      <c r="AI258" s="11"/>
      <c r="AJ258" s="1"/>
      <c r="AK258" s="1"/>
      <c r="AL258" s="11"/>
      <c r="AM258" s="11"/>
      <c r="AN258" s="1"/>
      <c r="AO258" s="1"/>
      <c r="AP258" s="1"/>
    </row>
    <row x14ac:dyDescent="0.25" r="259" customHeight="1" ht="18.75">
      <c r="A259" s="19">
        <f>+LEN(E259)</f>
      </c>
      <c r="B259" s="20" t="s">
        <v>997</v>
      </c>
      <c r="C259" s="21" t="s">
        <v>998</v>
      </c>
      <c r="D259" s="21"/>
      <c r="E259" s="68"/>
      <c r="F259" s="67"/>
      <c r="G259" s="1"/>
      <c r="H259" s="1"/>
      <c r="I259" s="1"/>
      <c r="J259" s="1"/>
      <c r="K259" s="1"/>
      <c r="L259" s="1"/>
      <c r="M259" s="11"/>
      <c r="N259" s="1"/>
      <c r="O259" s="1"/>
      <c r="P259" s="1"/>
      <c r="Q259" s="11"/>
      <c r="R259" s="1"/>
      <c r="S259" s="1"/>
      <c r="T259" s="1"/>
      <c r="U259" s="1"/>
      <c r="V259" s="1"/>
      <c r="W259" s="1"/>
      <c r="X259" s="1"/>
      <c r="Y259" s="1"/>
      <c r="Z259" s="1"/>
      <c r="AA259" s="11"/>
      <c r="AB259" s="11"/>
      <c r="AC259" s="1"/>
      <c r="AD259" s="1"/>
      <c r="AE259" s="11"/>
      <c r="AF259" s="11"/>
      <c r="AG259" s="1"/>
      <c r="AH259" s="11"/>
      <c r="AI259" s="11"/>
      <c r="AJ259" s="1"/>
      <c r="AK259" s="1"/>
      <c r="AL259" s="11"/>
      <c r="AM259" s="11"/>
      <c r="AN259" s="1"/>
      <c r="AO259" s="1"/>
      <c r="AP259" s="1"/>
    </row>
    <row x14ac:dyDescent="0.25" r="260" customHeight="1" ht="18.75">
      <c r="A260" s="19">
        <f>+LEN(E260)</f>
      </c>
      <c r="B260" s="20" t="s">
        <v>999</v>
      </c>
      <c r="C260" s="21" t="s">
        <v>1000</v>
      </c>
      <c r="D260" s="21"/>
      <c r="E260" s="68"/>
      <c r="F260" s="67"/>
      <c r="G260" s="1"/>
      <c r="H260" s="1"/>
      <c r="I260" s="1"/>
      <c r="J260" s="1"/>
      <c r="K260" s="1"/>
      <c r="L260" s="1"/>
      <c r="M260" s="11"/>
      <c r="N260" s="1"/>
      <c r="O260" s="1"/>
      <c r="P260" s="1"/>
      <c r="Q260" s="11"/>
      <c r="R260" s="1"/>
      <c r="S260" s="1"/>
      <c r="T260" s="1"/>
      <c r="U260" s="1"/>
      <c r="V260" s="1"/>
      <c r="W260" s="1"/>
      <c r="X260" s="1"/>
      <c r="Y260" s="1"/>
      <c r="Z260" s="1"/>
      <c r="AA260" s="11"/>
      <c r="AB260" s="11"/>
      <c r="AC260" s="1"/>
      <c r="AD260" s="1"/>
      <c r="AE260" s="11"/>
      <c r="AF260" s="11"/>
      <c r="AG260" s="1"/>
      <c r="AH260" s="11"/>
      <c r="AI260" s="11"/>
      <c r="AJ260" s="1"/>
      <c r="AK260" s="1"/>
      <c r="AL260" s="11"/>
      <c r="AM260" s="11"/>
      <c r="AN260" s="1"/>
      <c r="AO260" s="1"/>
      <c r="AP260" s="1"/>
    </row>
    <row x14ac:dyDescent="0.25" r="261" customHeight="1" ht="18.75">
      <c r="A261" s="19">
        <f>+LEN(E261)</f>
      </c>
      <c r="B261" s="54"/>
      <c r="C261" s="21"/>
      <c r="D261" s="21"/>
      <c r="E261" s="68"/>
      <c r="F261" s="67"/>
      <c r="G261" s="1"/>
      <c r="H261" s="1"/>
      <c r="I261" s="1"/>
      <c r="J261" s="1"/>
      <c r="K261" s="1"/>
      <c r="L261" s="1"/>
      <c r="M261" s="11"/>
      <c r="N261" s="1"/>
      <c r="O261" s="1"/>
      <c r="P261" s="1"/>
      <c r="Q261" s="11"/>
      <c r="R261" s="1"/>
      <c r="S261" s="1"/>
      <c r="T261" s="1"/>
      <c r="U261" s="1"/>
      <c r="V261" s="1"/>
      <c r="W261" s="1"/>
      <c r="X261" s="1"/>
      <c r="Y261" s="1"/>
      <c r="Z261" s="1"/>
      <c r="AA261" s="11"/>
      <c r="AB261" s="11"/>
      <c r="AC261" s="1"/>
      <c r="AD261" s="1"/>
      <c r="AE261" s="11"/>
      <c r="AF261" s="11"/>
      <c r="AG261" s="1"/>
      <c r="AH261" s="11"/>
      <c r="AI261" s="11"/>
      <c r="AJ261" s="1"/>
      <c r="AK261" s="1"/>
      <c r="AL261" s="11"/>
      <c r="AM261" s="11"/>
      <c r="AN261" s="1"/>
      <c r="AO261" s="1"/>
      <c r="AP261" s="1"/>
    </row>
    <row x14ac:dyDescent="0.25" r="262" customHeight="1" ht="18.75">
      <c r="A262" s="19">
        <f>+LEN(E262)</f>
      </c>
      <c r="B262" s="54"/>
      <c r="C262" s="21"/>
      <c r="D262" s="21"/>
      <c r="E262" s="68"/>
      <c r="F262" s="67"/>
      <c r="G262" s="1"/>
      <c r="H262" s="1"/>
      <c r="I262" s="1"/>
      <c r="J262" s="1"/>
      <c r="K262" s="1"/>
      <c r="L262" s="1"/>
      <c r="M262" s="11"/>
      <c r="N262" s="1"/>
      <c r="O262" s="1"/>
      <c r="P262" s="1"/>
      <c r="Q262" s="11"/>
      <c r="R262" s="1"/>
      <c r="S262" s="1"/>
      <c r="T262" s="1"/>
      <c r="U262" s="1"/>
      <c r="V262" s="1"/>
      <c r="W262" s="1"/>
      <c r="X262" s="1"/>
      <c r="Y262" s="1"/>
      <c r="Z262" s="1"/>
      <c r="AA262" s="11"/>
      <c r="AB262" s="11"/>
      <c r="AC262" s="1"/>
      <c r="AD262" s="1"/>
      <c r="AE262" s="11"/>
      <c r="AF262" s="11"/>
      <c r="AG262" s="1"/>
      <c r="AH262" s="11"/>
      <c r="AI262" s="11"/>
      <c r="AJ262" s="1"/>
      <c r="AK262" s="1"/>
      <c r="AL262" s="11"/>
      <c r="AM262" s="11"/>
      <c r="AN262" s="1"/>
      <c r="AO262" s="1"/>
      <c r="AP262" s="1"/>
    </row>
    <row x14ac:dyDescent="0.25" r="263" customHeight="1" ht="18.75">
      <c r="A263" s="19">
        <f>+LEN(E263)</f>
      </c>
      <c r="B263" s="54"/>
      <c r="C263" s="21"/>
      <c r="D263" s="21"/>
      <c r="E263" s="68"/>
      <c r="F263" s="67"/>
      <c r="G263" s="1"/>
      <c r="H263" s="1"/>
      <c r="I263" s="1"/>
      <c r="J263" s="1"/>
      <c r="K263" s="1"/>
      <c r="L263" s="1"/>
      <c r="M263" s="11"/>
      <c r="N263" s="1"/>
      <c r="O263" s="1"/>
      <c r="P263" s="1"/>
      <c r="Q263" s="11"/>
      <c r="R263" s="1"/>
      <c r="S263" s="1"/>
      <c r="T263" s="1"/>
      <c r="U263" s="1"/>
      <c r="V263" s="1"/>
      <c r="W263" s="1"/>
      <c r="X263" s="1"/>
      <c r="Y263" s="1"/>
      <c r="Z263" s="1"/>
      <c r="AA263" s="11"/>
      <c r="AB263" s="11"/>
      <c r="AC263" s="1"/>
      <c r="AD263" s="1"/>
      <c r="AE263" s="11"/>
      <c r="AF263" s="11"/>
      <c r="AG263" s="1"/>
      <c r="AH263" s="11"/>
      <c r="AI263" s="11"/>
      <c r="AJ263" s="1"/>
      <c r="AK263" s="1"/>
      <c r="AL263" s="11"/>
      <c r="AM263" s="11"/>
      <c r="AN263" s="1"/>
      <c r="AO263" s="1"/>
      <c r="AP263" s="1"/>
    </row>
    <row x14ac:dyDescent="0.25" r="264" customHeight="1" ht="18.75">
      <c r="A264" s="19">
        <f>+LEN(E264)</f>
      </c>
      <c r="B264" s="54"/>
      <c r="C264" s="21"/>
      <c r="D264" s="21"/>
      <c r="E264" s="68"/>
      <c r="F264" s="67"/>
      <c r="G264" s="1"/>
      <c r="H264" s="1"/>
      <c r="I264" s="1"/>
      <c r="J264" s="1"/>
      <c r="K264" s="1"/>
      <c r="L264" s="1"/>
      <c r="M264" s="11"/>
      <c r="N264" s="1"/>
      <c r="O264" s="1"/>
      <c r="P264" s="1"/>
      <c r="Q264" s="11"/>
      <c r="R264" s="1"/>
      <c r="S264" s="1"/>
      <c r="T264" s="1"/>
      <c r="U264" s="1"/>
      <c r="V264" s="1"/>
      <c r="W264" s="1"/>
      <c r="X264" s="1"/>
      <c r="Y264" s="1"/>
      <c r="Z264" s="1"/>
      <c r="AA264" s="11"/>
      <c r="AB264" s="11"/>
      <c r="AC264" s="1"/>
      <c r="AD264" s="1"/>
      <c r="AE264" s="11"/>
      <c r="AF264" s="11"/>
      <c r="AG264" s="1"/>
      <c r="AH264" s="11"/>
      <c r="AI264" s="11"/>
      <c r="AJ264" s="1"/>
      <c r="AK264" s="1"/>
      <c r="AL264" s="11"/>
      <c r="AM264" s="11"/>
      <c r="AN264" s="1"/>
      <c r="AO264" s="1"/>
      <c r="AP264" s="1"/>
    </row>
    <row x14ac:dyDescent="0.25" r="265" customHeight="1" ht="18.75">
      <c r="A265" s="7"/>
      <c r="B265" s="54"/>
      <c r="C265" s="21"/>
      <c r="D265" s="21"/>
      <c r="E265" s="68"/>
      <c r="F265" s="67"/>
      <c r="G265" s="1"/>
      <c r="H265" s="1"/>
      <c r="I265" s="1"/>
      <c r="J265" s="1"/>
      <c r="K265" s="1"/>
      <c r="L265" s="1"/>
      <c r="M265" s="11"/>
      <c r="N265" s="1"/>
      <c r="O265" s="1"/>
      <c r="P265" s="1"/>
      <c r="Q265" s="11"/>
      <c r="R265" s="1"/>
      <c r="S265" s="1"/>
      <c r="T265" s="1"/>
      <c r="U265" s="1"/>
      <c r="V265" s="1"/>
      <c r="W265" s="1"/>
      <c r="X265" s="1"/>
      <c r="Y265" s="1"/>
      <c r="Z265" s="1"/>
      <c r="AA265" s="11"/>
      <c r="AB265" s="11"/>
      <c r="AC265" s="1"/>
      <c r="AD265" s="1"/>
      <c r="AE265" s="11"/>
      <c r="AF265" s="11"/>
      <c r="AG265" s="1"/>
      <c r="AH265" s="11"/>
      <c r="AI265" s="11"/>
      <c r="AJ265" s="1"/>
      <c r="AK265" s="1"/>
      <c r="AL265" s="11"/>
      <c r="AM265" s="11"/>
      <c r="AN265" s="1"/>
      <c r="AO265" s="1"/>
      <c r="AP265" s="1"/>
    </row>
    <row x14ac:dyDescent="0.25" r="266" customHeight="1" ht="18.75">
      <c r="A266" s="7"/>
      <c r="B266" s="54"/>
      <c r="C266" s="21"/>
      <c r="D266" s="21"/>
      <c r="E266" s="68"/>
      <c r="F266" s="67"/>
      <c r="G266" s="1"/>
      <c r="H266" s="1"/>
      <c r="I266" s="1"/>
      <c r="J266" s="1"/>
      <c r="K266" s="1"/>
      <c r="L266" s="1"/>
      <c r="M266" s="11"/>
      <c r="N266" s="1"/>
      <c r="O266" s="1"/>
      <c r="P266" s="1"/>
      <c r="Q266" s="11"/>
      <c r="R266" s="1"/>
      <c r="S266" s="1"/>
      <c r="T266" s="1"/>
      <c r="U266" s="1"/>
      <c r="V266" s="1"/>
      <c r="W266" s="1"/>
      <c r="X266" s="1"/>
      <c r="Y266" s="1"/>
      <c r="Z266" s="1"/>
      <c r="AA266" s="11"/>
      <c r="AB266" s="11"/>
      <c r="AC266" s="1"/>
      <c r="AD266" s="1"/>
      <c r="AE266" s="11"/>
      <c r="AF266" s="11"/>
      <c r="AG266" s="1"/>
      <c r="AH266" s="11"/>
      <c r="AI266" s="11"/>
      <c r="AJ266" s="1"/>
      <c r="AK266" s="1"/>
      <c r="AL266" s="11"/>
      <c r="AM266" s="11"/>
      <c r="AN266" s="1"/>
      <c r="AO266" s="1"/>
      <c r="AP266" s="1"/>
    </row>
    <row x14ac:dyDescent="0.25" r="267" customHeight="1" ht="18.75">
      <c r="A267" s="7"/>
      <c r="B267" s="54"/>
      <c r="C267" s="21"/>
      <c r="D267" s="21"/>
      <c r="E267" s="68"/>
      <c r="F267" s="67"/>
      <c r="G267" s="1"/>
      <c r="H267" s="1"/>
      <c r="I267" s="1"/>
      <c r="J267" s="1"/>
      <c r="K267" s="1"/>
      <c r="L267" s="1"/>
      <c r="M267" s="11"/>
      <c r="N267" s="1"/>
      <c r="O267" s="1"/>
      <c r="P267" s="1"/>
      <c r="Q267" s="11"/>
      <c r="R267" s="1"/>
      <c r="S267" s="1"/>
      <c r="T267" s="1"/>
      <c r="U267" s="1"/>
      <c r="V267" s="1"/>
      <c r="W267" s="1"/>
      <c r="X267" s="1"/>
      <c r="Y267" s="1"/>
      <c r="Z267" s="1"/>
      <c r="AA267" s="11"/>
      <c r="AB267" s="11"/>
      <c r="AC267" s="1"/>
      <c r="AD267" s="1"/>
      <c r="AE267" s="11"/>
      <c r="AF267" s="11"/>
      <c r="AG267" s="1"/>
      <c r="AH267" s="11"/>
      <c r="AI267" s="11"/>
      <c r="AJ267" s="1"/>
      <c r="AK267" s="1"/>
      <c r="AL267" s="11"/>
      <c r="AM267" s="11"/>
      <c r="AN267" s="1"/>
      <c r="AO267" s="1"/>
      <c r="AP267" s="1"/>
    </row>
    <row x14ac:dyDescent="0.25" r="268" customHeight="1" ht="18.75">
      <c r="A268" s="7"/>
      <c r="B268" s="8"/>
      <c r="C268" s="1"/>
      <c r="D268" s="1"/>
      <c r="E268" s="9"/>
      <c r="F268" s="10"/>
      <c r="G268" s="1"/>
      <c r="H268" s="1"/>
      <c r="I268" s="1"/>
      <c r="J268" s="1"/>
      <c r="K268" s="1"/>
      <c r="L268" s="1"/>
      <c r="M268" s="11"/>
      <c r="N268" s="1"/>
      <c r="O268" s="1"/>
      <c r="P268" s="1"/>
      <c r="Q268" s="11"/>
      <c r="R268" s="1"/>
      <c r="S268" s="1"/>
      <c r="T268" s="1"/>
      <c r="U268" s="1"/>
      <c r="V268" s="1"/>
      <c r="W268" s="1"/>
      <c r="X268" s="1"/>
      <c r="Y268" s="1"/>
      <c r="Z268" s="1"/>
      <c r="AA268" s="11"/>
      <c r="AB268" s="11"/>
      <c r="AC268" s="1"/>
      <c r="AD268" s="1"/>
      <c r="AE268" s="11"/>
      <c r="AF268" s="11"/>
      <c r="AG268" s="1"/>
      <c r="AH268" s="11"/>
      <c r="AI268" s="11"/>
      <c r="AJ268" s="1"/>
      <c r="AK268" s="1"/>
      <c r="AL268" s="11"/>
      <c r="AM268" s="11"/>
      <c r="AN268" s="1"/>
      <c r="AO268" s="1"/>
      <c r="AP268" s="1"/>
    </row>
    <row x14ac:dyDescent="0.25" r="269" customHeight="1" ht="18.75">
      <c r="A269" s="7"/>
      <c r="B269" s="8"/>
      <c r="C269" s="1"/>
      <c r="D269" s="1"/>
      <c r="E269" s="9"/>
      <c r="F269" s="10"/>
      <c r="G269" s="1"/>
      <c r="H269" s="1"/>
      <c r="I269" s="1"/>
      <c r="J269" s="1"/>
      <c r="K269" s="1"/>
      <c r="L269" s="1"/>
      <c r="M269" s="11"/>
      <c r="N269" s="1"/>
      <c r="O269" s="1"/>
      <c r="P269" s="1"/>
      <c r="Q269" s="11"/>
      <c r="R269" s="1"/>
      <c r="S269" s="1"/>
      <c r="T269" s="1"/>
      <c r="U269" s="1"/>
      <c r="V269" s="1"/>
      <c r="W269" s="1"/>
      <c r="X269" s="1"/>
      <c r="Y269" s="1"/>
      <c r="Z269" s="1"/>
      <c r="AA269" s="11"/>
      <c r="AB269" s="11"/>
      <c r="AC269" s="1"/>
      <c r="AD269" s="1"/>
      <c r="AE269" s="11"/>
      <c r="AF269" s="11"/>
      <c r="AG269" s="1"/>
      <c r="AH269" s="11"/>
      <c r="AI269" s="11"/>
      <c r="AJ269" s="1"/>
      <c r="AK269" s="1"/>
      <c r="AL269" s="11"/>
      <c r="AM269" s="11"/>
      <c r="AN269" s="1"/>
      <c r="AO269" s="1"/>
      <c r="AP269" s="1"/>
    </row>
    <row x14ac:dyDescent="0.25" r="270" customHeight="1" ht="18.75">
      <c r="A270" s="7"/>
      <c r="B270" s="8"/>
      <c r="C270" s="1"/>
      <c r="D270" s="1"/>
      <c r="E270" s="9"/>
      <c r="F270" s="10"/>
      <c r="G270" s="1"/>
      <c r="H270" s="1"/>
      <c r="I270" s="1"/>
      <c r="J270" s="1"/>
      <c r="K270" s="1"/>
      <c r="L270" s="1"/>
      <c r="M270" s="11"/>
      <c r="N270" s="1"/>
      <c r="O270" s="1"/>
      <c r="P270" s="1"/>
      <c r="Q270" s="11"/>
      <c r="R270" s="1"/>
      <c r="S270" s="1"/>
      <c r="T270" s="1"/>
      <c r="U270" s="1"/>
      <c r="V270" s="1"/>
      <c r="W270" s="1"/>
      <c r="X270" s="1"/>
      <c r="Y270" s="1"/>
      <c r="Z270" s="1"/>
      <c r="AA270" s="11"/>
      <c r="AB270" s="11"/>
      <c r="AC270" s="1"/>
      <c r="AD270" s="1"/>
      <c r="AE270" s="11"/>
      <c r="AF270" s="11"/>
      <c r="AG270" s="1"/>
      <c r="AH270" s="11"/>
      <c r="AI270" s="11"/>
      <c r="AJ270" s="1"/>
      <c r="AK270" s="1"/>
      <c r="AL270" s="11"/>
      <c r="AM270" s="11"/>
      <c r="AN270" s="1"/>
      <c r="AO270" s="1"/>
      <c r="AP270" s="1"/>
    </row>
    <row x14ac:dyDescent="0.25" r="271" customHeight="1" ht="18.75">
      <c r="A271" s="7"/>
      <c r="B271" s="8"/>
      <c r="C271" s="1"/>
      <c r="D271" s="1"/>
      <c r="E271" s="9"/>
      <c r="F271" s="10"/>
      <c r="G271" s="1"/>
      <c r="H271" s="1"/>
      <c r="I271" s="1"/>
      <c r="J271" s="1"/>
      <c r="K271" s="1"/>
      <c r="L271" s="1"/>
      <c r="M271" s="11"/>
      <c r="N271" s="1"/>
      <c r="O271" s="1"/>
      <c r="P271" s="1"/>
      <c r="Q271" s="11"/>
      <c r="R271" s="1"/>
      <c r="S271" s="1"/>
      <c r="T271" s="1"/>
      <c r="U271" s="1"/>
      <c r="V271" s="1"/>
      <c r="W271" s="1"/>
      <c r="X271" s="1"/>
      <c r="Y271" s="1"/>
      <c r="Z271" s="1"/>
      <c r="AA271" s="11"/>
      <c r="AB271" s="11"/>
      <c r="AC271" s="1"/>
      <c r="AD271" s="1"/>
      <c r="AE271" s="11"/>
      <c r="AF271" s="11"/>
      <c r="AG271" s="1"/>
      <c r="AH271" s="11"/>
      <c r="AI271" s="11"/>
      <c r="AJ271" s="1"/>
      <c r="AK271" s="1"/>
      <c r="AL271" s="11"/>
      <c r="AM271" s="11"/>
      <c r="AN271" s="1"/>
      <c r="AO271" s="1"/>
      <c r="AP271" s="1"/>
    </row>
    <row x14ac:dyDescent="0.25" r="272" customHeight="1" ht="18.75">
      <c r="A272" s="7"/>
      <c r="B272" s="8"/>
      <c r="C272" s="1"/>
      <c r="D272" s="1"/>
      <c r="E272" s="9"/>
      <c r="F272" s="10"/>
      <c r="G272" s="1"/>
      <c r="H272" s="1"/>
      <c r="I272" s="1"/>
      <c r="J272" s="1"/>
      <c r="K272" s="1"/>
      <c r="L272" s="1"/>
      <c r="M272" s="11"/>
      <c r="N272" s="1"/>
      <c r="O272" s="1"/>
      <c r="P272" s="1"/>
      <c r="Q272" s="11"/>
      <c r="R272" s="1"/>
      <c r="S272" s="1"/>
      <c r="T272" s="1"/>
      <c r="U272" s="1"/>
      <c r="V272" s="1"/>
      <c r="W272" s="1"/>
      <c r="X272" s="1"/>
      <c r="Y272" s="1"/>
      <c r="Z272" s="1"/>
      <c r="AA272" s="11"/>
      <c r="AB272" s="11"/>
      <c r="AC272" s="1"/>
      <c r="AD272" s="1"/>
      <c r="AE272" s="11"/>
      <c r="AF272" s="11"/>
      <c r="AG272" s="1"/>
      <c r="AH272" s="11"/>
      <c r="AI272" s="11"/>
      <c r="AJ272" s="1"/>
      <c r="AK272" s="1"/>
      <c r="AL272" s="11"/>
      <c r="AM272" s="11"/>
      <c r="AN272" s="1"/>
      <c r="AO272" s="1"/>
      <c r="AP272" s="1"/>
    </row>
    <row x14ac:dyDescent="0.25" r="273" customHeight="1" ht="18.75">
      <c r="A273" s="7"/>
      <c r="B273" s="8"/>
      <c r="C273" s="1"/>
      <c r="D273" s="1"/>
      <c r="E273" s="9"/>
      <c r="F273" s="10"/>
      <c r="G273" s="1"/>
      <c r="H273" s="1"/>
      <c r="I273" s="1"/>
      <c r="J273" s="1"/>
      <c r="K273" s="1"/>
      <c r="L273" s="1"/>
      <c r="M273" s="11"/>
      <c r="N273" s="1"/>
      <c r="O273" s="1"/>
      <c r="P273" s="1"/>
      <c r="Q273" s="11"/>
      <c r="R273" s="1"/>
      <c r="S273" s="1"/>
      <c r="T273" s="1"/>
      <c r="U273" s="1"/>
      <c r="V273" s="1"/>
      <c r="W273" s="1"/>
      <c r="X273" s="1"/>
      <c r="Y273" s="1"/>
      <c r="Z273" s="1"/>
      <c r="AA273" s="11"/>
      <c r="AB273" s="11"/>
      <c r="AC273" s="1"/>
      <c r="AD273" s="1"/>
      <c r="AE273" s="11"/>
      <c r="AF273" s="11"/>
      <c r="AG273" s="1"/>
      <c r="AH273" s="11"/>
      <c r="AI273" s="11"/>
      <c r="AJ273" s="1"/>
      <c r="AK273" s="1"/>
      <c r="AL273" s="11"/>
      <c r="AM273" s="11"/>
      <c r="AN273" s="1"/>
      <c r="AO273" s="1"/>
      <c r="AP273" s="1"/>
    </row>
    <row x14ac:dyDescent="0.25" r="274" customHeight="1" ht="18.75">
      <c r="A274" s="7"/>
      <c r="B274" s="8"/>
      <c r="C274" s="1"/>
      <c r="D274" s="1"/>
      <c r="E274" s="9"/>
      <c r="F274" s="10"/>
      <c r="G274" s="1"/>
      <c r="H274" s="1"/>
      <c r="I274" s="1"/>
      <c r="J274" s="1"/>
      <c r="K274" s="1"/>
      <c r="L274" s="1"/>
      <c r="M274" s="11"/>
      <c r="N274" s="1"/>
      <c r="O274" s="1"/>
      <c r="P274" s="1"/>
      <c r="Q274" s="11"/>
      <c r="R274" s="1"/>
      <c r="S274" s="1"/>
      <c r="T274" s="1"/>
      <c r="U274" s="1"/>
      <c r="V274" s="1"/>
      <c r="W274" s="1"/>
      <c r="X274" s="1"/>
      <c r="Y274" s="1"/>
      <c r="Z274" s="1"/>
      <c r="AA274" s="11"/>
      <c r="AB274" s="11"/>
      <c r="AC274" s="1"/>
      <c r="AD274" s="1"/>
      <c r="AE274" s="11"/>
      <c r="AF274" s="11"/>
      <c r="AG274" s="1"/>
      <c r="AH274" s="11"/>
      <c r="AI274" s="11"/>
      <c r="AJ274" s="1"/>
      <c r="AK274" s="1"/>
      <c r="AL274" s="11"/>
      <c r="AM274" s="11"/>
      <c r="AN274" s="1"/>
      <c r="AO274" s="1"/>
      <c r="AP274" s="1"/>
    </row>
    <row x14ac:dyDescent="0.25" r="275" customHeight="1" ht="18.75">
      <c r="A275" s="7"/>
      <c r="B275" s="8"/>
      <c r="C275" s="1"/>
      <c r="D275" s="1"/>
      <c r="E275" s="9"/>
      <c r="F275" s="10"/>
      <c r="G275" s="1"/>
      <c r="H275" s="1"/>
      <c r="I275" s="1"/>
      <c r="J275" s="1"/>
      <c r="K275" s="1"/>
      <c r="L275" s="1"/>
      <c r="M275" s="11"/>
      <c r="N275" s="1"/>
      <c r="O275" s="1"/>
      <c r="P275" s="1"/>
      <c r="Q275" s="11"/>
      <c r="R275" s="1"/>
      <c r="S275" s="1"/>
      <c r="T275" s="1"/>
      <c r="U275" s="1"/>
      <c r="V275" s="1"/>
      <c r="W275" s="1"/>
      <c r="X275" s="1"/>
      <c r="Y275" s="1"/>
      <c r="Z275" s="1"/>
      <c r="AA275" s="11"/>
      <c r="AB275" s="11"/>
      <c r="AC275" s="1"/>
      <c r="AD275" s="1"/>
      <c r="AE275" s="11"/>
      <c r="AF275" s="11"/>
      <c r="AG275" s="1"/>
      <c r="AH275" s="11"/>
      <c r="AI275" s="11"/>
      <c r="AJ275" s="1"/>
      <c r="AK275" s="1"/>
      <c r="AL275" s="11"/>
      <c r="AM275" s="11"/>
      <c r="AN275" s="1"/>
      <c r="AO275" s="1"/>
      <c r="AP275" s="1"/>
    </row>
    <row x14ac:dyDescent="0.25" r="276" customHeight="1" ht="18.75">
      <c r="A276" s="7"/>
      <c r="B276" s="8"/>
      <c r="C276" s="1"/>
      <c r="D276" s="1"/>
      <c r="E276" s="9"/>
      <c r="F276" s="10"/>
      <c r="G276" s="1"/>
      <c r="H276" s="1"/>
      <c r="I276" s="1"/>
      <c r="J276" s="1"/>
      <c r="K276" s="1"/>
      <c r="L276" s="1"/>
      <c r="M276" s="11"/>
      <c r="N276" s="1"/>
      <c r="O276" s="1"/>
      <c r="P276" s="1"/>
      <c r="Q276" s="11"/>
      <c r="R276" s="1"/>
      <c r="S276" s="1"/>
      <c r="T276" s="1"/>
      <c r="U276" s="1"/>
      <c r="V276" s="1"/>
      <c r="W276" s="1"/>
      <c r="X276" s="1"/>
      <c r="Y276" s="1"/>
      <c r="Z276" s="1"/>
      <c r="AA276" s="11"/>
      <c r="AB276" s="11"/>
      <c r="AC276" s="1"/>
      <c r="AD276" s="1"/>
      <c r="AE276" s="11"/>
      <c r="AF276" s="11"/>
      <c r="AG276" s="1"/>
      <c r="AH276" s="11"/>
      <c r="AI276" s="11"/>
      <c r="AJ276" s="1"/>
      <c r="AK276" s="1"/>
      <c r="AL276" s="11"/>
      <c r="AM276" s="11"/>
      <c r="AN276" s="1"/>
      <c r="AO276" s="1"/>
      <c r="AP276" s="1"/>
    </row>
    <row x14ac:dyDescent="0.25" r="277" customHeight="1" ht="18.75">
      <c r="A277" s="7"/>
      <c r="B277" s="8"/>
      <c r="C277" s="1"/>
      <c r="D277" s="1"/>
      <c r="E277" s="9"/>
      <c r="F277" s="10"/>
      <c r="G277" s="1"/>
      <c r="H277" s="1"/>
      <c r="I277" s="1"/>
      <c r="J277" s="1"/>
      <c r="K277" s="1"/>
      <c r="L277" s="1"/>
      <c r="M277" s="11"/>
      <c r="N277" s="1"/>
      <c r="O277" s="1"/>
      <c r="P277" s="1"/>
      <c r="Q277" s="11"/>
      <c r="R277" s="1"/>
      <c r="S277" s="1"/>
      <c r="T277" s="1"/>
      <c r="U277" s="1"/>
      <c r="V277" s="1"/>
      <c r="W277" s="1"/>
      <c r="X277" s="1"/>
      <c r="Y277" s="1"/>
      <c r="Z277" s="1"/>
      <c r="AA277" s="11"/>
      <c r="AB277" s="11"/>
      <c r="AC277" s="1"/>
      <c r="AD277" s="1"/>
      <c r="AE277" s="11"/>
      <c r="AF277" s="11"/>
      <c r="AG277" s="1"/>
      <c r="AH277" s="11"/>
      <c r="AI277" s="11"/>
      <c r="AJ277" s="1"/>
      <c r="AK277" s="1"/>
      <c r="AL277" s="11"/>
      <c r="AM277" s="11"/>
      <c r="AN277" s="1"/>
      <c r="AO277" s="1"/>
      <c r="AP277" s="1"/>
    </row>
    <row x14ac:dyDescent="0.25" r="278" customHeight="1" ht="18.75">
      <c r="A278" s="7"/>
      <c r="B278" s="8"/>
      <c r="C278" s="1"/>
      <c r="D278" s="1"/>
      <c r="E278" s="9"/>
      <c r="F278" s="10"/>
      <c r="G278" s="1"/>
      <c r="H278" s="1"/>
      <c r="I278" s="1"/>
      <c r="J278" s="1"/>
      <c r="K278" s="1"/>
      <c r="L278" s="1"/>
      <c r="M278" s="11"/>
      <c r="N278" s="1"/>
      <c r="O278" s="1"/>
      <c r="P278" s="1"/>
      <c r="Q278" s="11"/>
      <c r="R278" s="1"/>
      <c r="S278" s="1"/>
      <c r="T278" s="1"/>
      <c r="U278" s="1"/>
      <c r="V278" s="1"/>
      <c r="W278" s="1"/>
      <c r="X278" s="1"/>
      <c r="Y278" s="1"/>
      <c r="Z278" s="1"/>
      <c r="AA278" s="11"/>
      <c r="AB278" s="11"/>
      <c r="AC278" s="1"/>
      <c r="AD278" s="1"/>
      <c r="AE278" s="11"/>
      <c r="AF278" s="11"/>
      <c r="AG278" s="1"/>
      <c r="AH278" s="11"/>
      <c r="AI278" s="11"/>
      <c r="AJ278" s="1"/>
      <c r="AK278" s="1"/>
      <c r="AL278" s="11"/>
      <c r="AM278" s="11"/>
      <c r="AN278" s="1"/>
      <c r="AO278" s="1"/>
      <c r="AP278" s="1"/>
    </row>
    <row x14ac:dyDescent="0.25" r="279" customHeight="1" ht="18.75">
      <c r="A279" s="7"/>
      <c r="B279" s="8"/>
      <c r="C279" s="1"/>
      <c r="D279" s="1"/>
      <c r="E279" s="9"/>
      <c r="F279" s="10"/>
      <c r="G279" s="1"/>
      <c r="H279" s="1"/>
      <c r="I279" s="1"/>
      <c r="J279" s="1"/>
      <c r="K279" s="1"/>
      <c r="L279" s="1"/>
      <c r="M279" s="11"/>
      <c r="N279" s="1"/>
      <c r="O279" s="1"/>
      <c r="P279" s="1"/>
      <c r="Q279" s="11"/>
      <c r="R279" s="1"/>
      <c r="S279" s="1"/>
      <c r="T279" s="1"/>
      <c r="U279" s="1"/>
      <c r="V279" s="1"/>
      <c r="W279" s="1"/>
      <c r="X279" s="1"/>
      <c r="Y279" s="1"/>
      <c r="Z279" s="1"/>
      <c r="AA279" s="11"/>
      <c r="AB279" s="11"/>
      <c r="AC279" s="1"/>
      <c r="AD279" s="1"/>
      <c r="AE279" s="11"/>
      <c r="AF279" s="11"/>
      <c r="AG279" s="1"/>
      <c r="AH279" s="11"/>
      <c r="AI279" s="11"/>
      <c r="AJ279" s="1"/>
      <c r="AK279" s="1"/>
      <c r="AL279" s="11"/>
      <c r="AM279" s="11"/>
      <c r="AN279" s="1"/>
      <c r="AO279" s="1"/>
      <c r="AP279" s="1"/>
    </row>
    <row x14ac:dyDescent="0.25" r="280" customHeight="1" ht="18.75">
      <c r="A280" s="7"/>
      <c r="B280" s="8"/>
      <c r="C280" s="1"/>
      <c r="D280" s="1"/>
      <c r="E280" s="9"/>
      <c r="F280" s="10"/>
      <c r="G280" s="1"/>
      <c r="H280" s="1"/>
      <c r="I280" s="1"/>
      <c r="J280" s="1"/>
      <c r="K280" s="1"/>
      <c r="L280" s="1"/>
      <c r="M280" s="11"/>
      <c r="N280" s="1"/>
      <c r="O280" s="1"/>
      <c r="P280" s="1"/>
      <c r="Q280" s="11"/>
      <c r="R280" s="1"/>
      <c r="S280" s="1"/>
      <c r="T280" s="1"/>
      <c r="U280" s="1"/>
      <c r="V280" s="1"/>
      <c r="W280" s="1"/>
      <c r="X280" s="1"/>
      <c r="Y280" s="1"/>
      <c r="Z280" s="1"/>
      <c r="AA280" s="11"/>
      <c r="AB280" s="11"/>
      <c r="AC280" s="1"/>
      <c r="AD280" s="1"/>
      <c r="AE280" s="11"/>
      <c r="AF280" s="11"/>
      <c r="AG280" s="1"/>
      <c r="AH280" s="11"/>
      <c r="AI280" s="11"/>
      <c r="AJ280" s="1"/>
      <c r="AK280" s="1"/>
      <c r="AL280" s="11"/>
      <c r="AM280" s="11"/>
      <c r="AN280" s="1"/>
      <c r="AO280" s="1"/>
      <c r="AP280" s="1"/>
    </row>
    <row x14ac:dyDescent="0.25" r="281" customHeight="1" ht="18.75">
      <c r="A281" s="7"/>
      <c r="B281" s="8"/>
      <c r="C281" s="1"/>
      <c r="D281" s="1"/>
      <c r="E281" s="9"/>
      <c r="F281" s="10"/>
      <c r="G281" s="1"/>
      <c r="H281" s="1"/>
      <c r="I281" s="1"/>
      <c r="J281" s="1"/>
      <c r="K281" s="1"/>
      <c r="L281" s="1"/>
      <c r="M281" s="11"/>
      <c r="N281" s="1"/>
      <c r="O281" s="1"/>
      <c r="P281" s="1"/>
      <c r="Q281" s="11"/>
      <c r="R281" s="1"/>
      <c r="S281" s="1"/>
      <c r="T281" s="1"/>
      <c r="U281" s="1"/>
      <c r="V281" s="1"/>
      <c r="W281" s="1"/>
      <c r="X281" s="1"/>
      <c r="Y281" s="1"/>
      <c r="Z281" s="1"/>
      <c r="AA281" s="11"/>
      <c r="AB281" s="11"/>
      <c r="AC281" s="1"/>
      <c r="AD281" s="1"/>
      <c r="AE281" s="11"/>
      <c r="AF281" s="11"/>
      <c r="AG281" s="1"/>
      <c r="AH281" s="11"/>
      <c r="AI281" s="11"/>
      <c r="AJ281" s="1"/>
      <c r="AK281" s="1"/>
      <c r="AL281" s="11"/>
      <c r="AM281" s="11"/>
      <c r="AN281" s="1"/>
      <c r="AO281" s="1"/>
      <c r="AP281" s="1"/>
    </row>
    <row x14ac:dyDescent="0.25" r="282" customHeight="1" ht="18.75">
      <c r="A282" s="7"/>
      <c r="B282" s="8"/>
      <c r="C282" s="1"/>
      <c r="D282" s="1"/>
      <c r="E282" s="9"/>
      <c r="F282" s="10"/>
      <c r="G282" s="1"/>
      <c r="H282" s="1"/>
      <c r="I282" s="1"/>
      <c r="J282" s="1"/>
      <c r="K282" s="1"/>
      <c r="L282" s="1"/>
      <c r="M282" s="11"/>
      <c r="N282" s="1"/>
      <c r="O282" s="1"/>
      <c r="P282" s="1"/>
      <c r="Q282" s="11"/>
      <c r="R282" s="1"/>
      <c r="S282" s="1"/>
      <c r="T282" s="1"/>
      <c r="U282" s="1"/>
      <c r="V282" s="1"/>
      <c r="W282" s="1"/>
      <c r="X282" s="1"/>
      <c r="Y282" s="1"/>
      <c r="Z282" s="1"/>
      <c r="AA282" s="11"/>
      <c r="AB282" s="11"/>
      <c r="AC282" s="1"/>
      <c r="AD282" s="1"/>
      <c r="AE282" s="11"/>
      <c r="AF282" s="11"/>
      <c r="AG282" s="1"/>
      <c r="AH282" s="11"/>
      <c r="AI282" s="11"/>
      <c r="AJ282" s="1"/>
      <c r="AK282" s="1"/>
      <c r="AL282" s="11"/>
      <c r="AM282" s="11"/>
      <c r="AN282" s="1"/>
      <c r="AO282" s="1"/>
      <c r="AP282" s="1"/>
    </row>
    <row x14ac:dyDescent="0.25" r="283" customHeight="1" ht="18.75">
      <c r="A283" s="7"/>
      <c r="B283" s="8"/>
      <c r="C283" s="1"/>
      <c r="D283" s="1"/>
      <c r="E283" s="9"/>
      <c r="F283" s="10"/>
      <c r="G283" s="1"/>
      <c r="H283" s="1"/>
      <c r="I283" s="1"/>
      <c r="J283" s="1"/>
      <c r="K283" s="1"/>
      <c r="L283" s="1"/>
      <c r="M283" s="11"/>
      <c r="N283" s="1"/>
      <c r="O283" s="1"/>
      <c r="P283" s="1"/>
      <c r="Q283" s="11"/>
      <c r="R283" s="1"/>
      <c r="S283" s="1"/>
      <c r="T283" s="1"/>
      <c r="U283" s="1"/>
      <c r="V283" s="1"/>
      <c r="W283" s="1"/>
      <c r="X283" s="1"/>
      <c r="Y283" s="1"/>
      <c r="Z283" s="1"/>
      <c r="AA283" s="11"/>
      <c r="AB283" s="11"/>
      <c r="AC283" s="1"/>
      <c r="AD283" s="1"/>
      <c r="AE283" s="11"/>
      <c r="AF283" s="11"/>
      <c r="AG283" s="1"/>
      <c r="AH283" s="11"/>
      <c r="AI283" s="11"/>
      <c r="AJ283" s="1"/>
      <c r="AK283" s="1"/>
      <c r="AL283" s="11"/>
      <c r="AM283" s="11"/>
      <c r="AN283" s="1"/>
      <c r="AO283" s="1"/>
      <c r="AP283" s="1"/>
    </row>
    <row x14ac:dyDescent="0.25" r="284" customHeight="1" ht="18.75">
      <c r="A284" s="7"/>
      <c r="B284" s="8"/>
      <c r="C284" s="1"/>
      <c r="D284" s="1"/>
      <c r="E284" s="9"/>
      <c r="F284" s="10"/>
      <c r="G284" s="1"/>
      <c r="H284" s="1"/>
      <c r="I284" s="1"/>
      <c r="J284" s="1"/>
      <c r="K284" s="1"/>
      <c r="L284" s="1"/>
      <c r="M284" s="11"/>
      <c r="N284" s="1"/>
      <c r="O284" s="1"/>
      <c r="P284" s="1"/>
      <c r="Q284" s="11"/>
      <c r="R284" s="1"/>
      <c r="S284" s="1"/>
      <c r="T284" s="1"/>
      <c r="U284" s="1"/>
      <c r="V284" s="1"/>
      <c r="W284" s="1"/>
      <c r="X284" s="1"/>
      <c r="Y284" s="1"/>
      <c r="Z284" s="1"/>
      <c r="AA284" s="11"/>
      <c r="AB284" s="11"/>
      <c r="AC284" s="1"/>
      <c r="AD284" s="1"/>
      <c r="AE284" s="11"/>
      <c r="AF284" s="11"/>
      <c r="AG284" s="1"/>
      <c r="AH284" s="11"/>
      <c r="AI284" s="11"/>
      <c r="AJ284" s="1"/>
      <c r="AK284" s="1"/>
      <c r="AL284" s="11"/>
      <c r="AM284" s="11"/>
      <c r="AN284" s="1"/>
      <c r="AO284" s="1"/>
      <c r="AP284" s="1"/>
    </row>
    <row x14ac:dyDescent="0.25" r="285" customHeight="1" ht="18.75">
      <c r="A285" s="7"/>
      <c r="B285" s="8"/>
      <c r="C285" s="1"/>
      <c r="D285" s="1"/>
      <c r="E285" s="9"/>
      <c r="F285" s="10"/>
      <c r="G285" s="1"/>
      <c r="H285" s="1"/>
      <c r="I285" s="1"/>
      <c r="J285" s="1"/>
      <c r="K285" s="1"/>
      <c r="L285" s="1"/>
      <c r="M285" s="11"/>
      <c r="N285" s="1"/>
      <c r="O285" s="1"/>
      <c r="P285" s="1"/>
      <c r="Q285" s="11"/>
      <c r="R285" s="1"/>
      <c r="S285" s="1"/>
      <c r="T285" s="1"/>
      <c r="U285" s="1"/>
      <c r="V285" s="1"/>
      <c r="W285" s="1"/>
      <c r="X285" s="1"/>
      <c r="Y285" s="1"/>
      <c r="Z285" s="1"/>
      <c r="AA285" s="11"/>
      <c r="AB285" s="11"/>
      <c r="AC285" s="1"/>
      <c r="AD285" s="1"/>
      <c r="AE285" s="11"/>
      <c r="AF285" s="11"/>
      <c r="AG285" s="1"/>
      <c r="AH285" s="11"/>
      <c r="AI285" s="11"/>
      <c r="AJ285" s="1"/>
      <c r="AK285" s="1"/>
      <c r="AL285" s="11"/>
      <c r="AM285" s="11"/>
      <c r="AN285" s="1"/>
      <c r="AO285" s="1"/>
      <c r="AP285" s="1"/>
    </row>
    <row x14ac:dyDescent="0.25" r="286" customHeight="1" ht="18.75">
      <c r="A286" s="7"/>
      <c r="B286" s="8"/>
      <c r="C286" s="1"/>
      <c r="D286" s="1"/>
      <c r="E286" s="9"/>
      <c r="F286" s="10"/>
      <c r="G286" s="1"/>
      <c r="H286" s="1"/>
      <c r="I286" s="1"/>
      <c r="J286" s="1"/>
      <c r="K286" s="1"/>
      <c r="L286" s="1"/>
      <c r="M286" s="11"/>
      <c r="N286" s="1"/>
      <c r="O286" s="1"/>
      <c r="P286" s="1"/>
      <c r="Q286" s="11"/>
      <c r="R286" s="1"/>
      <c r="S286" s="1"/>
      <c r="T286" s="1"/>
      <c r="U286" s="1"/>
      <c r="V286" s="1"/>
      <c r="W286" s="1"/>
      <c r="X286" s="1"/>
      <c r="Y286" s="1"/>
      <c r="Z286" s="1"/>
      <c r="AA286" s="11"/>
      <c r="AB286" s="11"/>
      <c r="AC286" s="1"/>
      <c r="AD286" s="1"/>
      <c r="AE286" s="11"/>
      <c r="AF286" s="11"/>
      <c r="AG286" s="1"/>
      <c r="AH286" s="11"/>
      <c r="AI286" s="11"/>
      <c r="AJ286" s="1"/>
      <c r="AK286" s="1"/>
      <c r="AL286" s="11"/>
      <c r="AM286" s="11"/>
      <c r="AN286" s="1"/>
      <c r="AO286" s="1"/>
      <c r="AP286" s="1"/>
    </row>
    <row x14ac:dyDescent="0.25" r="287" customHeight="1" ht="18.75">
      <c r="A287" s="7"/>
      <c r="B287" s="8"/>
      <c r="C287" s="1"/>
      <c r="D287" s="1"/>
      <c r="E287" s="9"/>
      <c r="F287" s="10"/>
      <c r="G287" s="1"/>
      <c r="H287" s="1"/>
      <c r="I287" s="1"/>
      <c r="J287" s="1"/>
      <c r="K287" s="1"/>
      <c r="L287" s="1"/>
      <c r="M287" s="11"/>
      <c r="N287" s="1"/>
      <c r="O287" s="1"/>
      <c r="P287" s="1"/>
      <c r="Q287" s="11"/>
      <c r="R287" s="1"/>
      <c r="S287" s="1"/>
      <c r="T287" s="1"/>
      <c r="U287" s="1"/>
      <c r="V287" s="1"/>
      <c r="W287" s="1"/>
      <c r="X287" s="1"/>
      <c r="Y287" s="1"/>
      <c r="Z287" s="1"/>
      <c r="AA287" s="11"/>
      <c r="AB287" s="11"/>
      <c r="AC287" s="1"/>
      <c r="AD287" s="1"/>
      <c r="AE287" s="11"/>
      <c r="AF287" s="11"/>
      <c r="AG287" s="1"/>
      <c r="AH287" s="11"/>
      <c r="AI287" s="11"/>
      <c r="AJ287" s="1"/>
      <c r="AK287" s="1"/>
      <c r="AL287" s="11"/>
      <c r="AM287" s="11"/>
      <c r="AN287" s="1"/>
      <c r="AO287" s="1"/>
      <c r="AP287" s="1"/>
    </row>
    <row x14ac:dyDescent="0.25" r="288" customHeight="1" ht="18.75">
      <c r="A288" s="7"/>
      <c r="B288" s="8"/>
      <c r="C288" s="1"/>
      <c r="D288" s="1"/>
      <c r="E288" s="9"/>
      <c r="F288" s="10"/>
      <c r="G288" s="1"/>
      <c r="H288" s="1"/>
      <c r="I288" s="1"/>
      <c r="J288" s="1"/>
      <c r="K288" s="1"/>
      <c r="L288" s="1"/>
      <c r="M288" s="11"/>
      <c r="N288" s="1"/>
      <c r="O288" s="1"/>
      <c r="P288" s="1"/>
      <c r="Q288" s="11"/>
      <c r="R288" s="1"/>
      <c r="S288" s="1"/>
      <c r="T288" s="1"/>
      <c r="U288" s="1"/>
      <c r="V288" s="1"/>
      <c r="W288" s="1"/>
      <c r="X288" s="1"/>
      <c r="Y288" s="1"/>
      <c r="Z288" s="1"/>
      <c r="AA288" s="11"/>
      <c r="AB288" s="11"/>
      <c r="AC288" s="1"/>
      <c r="AD288" s="1"/>
      <c r="AE288" s="11"/>
      <c r="AF288" s="11"/>
      <c r="AG288" s="1"/>
      <c r="AH288" s="11"/>
      <c r="AI288" s="11"/>
      <c r="AJ288" s="1"/>
      <c r="AK288" s="1"/>
      <c r="AL288" s="11"/>
      <c r="AM288" s="11"/>
      <c r="AN288" s="1"/>
      <c r="AO288" s="1"/>
      <c r="AP288" s="1"/>
    </row>
    <row x14ac:dyDescent="0.25" r="289" customHeight="1" ht="18.75">
      <c r="A289" s="7"/>
      <c r="B289" s="8"/>
      <c r="C289" s="1"/>
      <c r="D289" s="1"/>
      <c r="E289" s="9"/>
      <c r="F289" s="10"/>
      <c r="G289" s="1"/>
      <c r="H289" s="1"/>
      <c r="I289" s="1"/>
      <c r="J289" s="1"/>
      <c r="K289" s="1"/>
      <c r="L289" s="1"/>
      <c r="M289" s="11"/>
      <c r="N289" s="1"/>
      <c r="O289" s="1"/>
      <c r="P289" s="1"/>
      <c r="Q289" s="11"/>
      <c r="R289" s="1"/>
      <c r="S289" s="1"/>
      <c r="T289" s="1"/>
      <c r="U289" s="1"/>
      <c r="V289" s="1"/>
      <c r="W289" s="1"/>
      <c r="X289" s="1"/>
      <c r="Y289" s="1"/>
      <c r="Z289" s="1"/>
      <c r="AA289" s="11"/>
      <c r="AB289" s="11"/>
      <c r="AC289" s="1"/>
      <c r="AD289" s="1"/>
      <c r="AE289" s="11"/>
      <c r="AF289" s="11"/>
      <c r="AG289" s="1"/>
      <c r="AH289" s="11"/>
      <c r="AI289" s="11"/>
      <c r="AJ289" s="1"/>
      <c r="AK289" s="1"/>
      <c r="AL289" s="11"/>
      <c r="AM289" s="11"/>
      <c r="AN289" s="1"/>
      <c r="AO289" s="1"/>
      <c r="AP289" s="1"/>
    </row>
    <row x14ac:dyDescent="0.25" r="290" customHeight="1" ht="18.75">
      <c r="A290" s="7"/>
      <c r="B290" s="8"/>
      <c r="C290" s="1"/>
      <c r="D290" s="1"/>
      <c r="E290" s="9"/>
      <c r="F290" s="10"/>
      <c r="G290" s="1"/>
      <c r="H290" s="1"/>
      <c r="I290" s="1"/>
      <c r="J290" s="1"/>
      <c r="K290" s="1"/>
      <c r="L290" s="1"/>
      <c r="M290" s="11"/>
      <c r="N290" s="1"/>
      <c r="O290" s="1"/>
      <c r="P290" s="1"/>
      <c r="Q290" s="11"/>
      <c r="R290" s="1"/>
      <c r="S290" s="1"/>
      <c r="T290" s="1"/>
      <c r="U290" s="1"/>
      <c r="V290" s="1"/>
      <c r="W290" s="1"/>
      <c r="X290" s="1"/>
      <c r="Y290" s="1"/>
      <c r="Z290" s="1"/>
      <c r="AA290" s="11"/>
      <c r="AB290" s="11"/>
      <c r="AC290" s="1"/>
      <c r="AD290" s="1"/>
      <c r="AE290" s="11"/>
      <c r="AF290" s="11"/>
      <c r="AG290" s="1"/>
      <c r="AH290" s="11"/>
      <c r="AI290" s="11"/>
      <c r="AJ290" s="1"/>
      <c r="AK290" s="1"/>
      <c r="AL290" s="11"/>
      <c r="AM290" s="11"/>
      <c r="AN290" s="1"/>
      <c r="AO290" s="1"/>
      <c r="AP290" s="1"/>
    </row>
    <row x14ac:dyDescent="0.25" r="291" customHeight="1" ht="18.75">
      <c r="A291" s="7"/>
      <c r="B291" s="8"/>
      <c r="C291" s="1"/>
      <c r="D291" s="1"/>
      <c r="E291" s="9"/>
      <c r="F291" s="10"/>
      <c r="G291" s="1"/>
      <c r="H291" s="1"/>
      <c r="I291" s="1"/>
      <c r="J291" s="1"/>
      <c r="K291" s="1"/>
      <c r="L291" s="1"/>
      <c r="M291" s="11"/>
      <c r="N291" s="1"/>
      <c r="O291" s="1"/>
      <c r="P291" s="1"/>
      <c r="Q291" s="11"/>
      <c r="R291" s="1"/>
      <c r="S291" s="1"/>
      <c r="T291" s="1"/>
      <c r="U291" s="1"/>
      <c r="V291" s="1"/>
      <c r="W291" s="1"/>
      <c r="X291" s="1"/>
      <c r="Y291" s="1"/>
      <c r="Z291" s="1"/>
      <c r="AA291" s="11"/>
      <c r="AB291" s="11"/>
      <c r="AC291" s="1"/>
      <c r="AD291" s="1"/>
      <c r="AE291" s="11"/>
      <c r="AF291" s="11"/>
      <c r="AG291" s="1"/>
      <c r="AH291" s="11"/>
      <c r="AI291" s="11"/>
      <c r="AJ291" s="1"/>
      <c r="AK291" s="1"/>
      <c r="AL291" s="11"/>
      <c r="AM291" s="11"/>
      <c r="AN291" s="1"/>
      <c r="AO291" s="1"/>
      <c r="AP291" s="1"/>
    </row>
    <row x14ac:dyDescent="0.25" r="292" customHeight="1" ht="18.75">
      <c r="A292" s="7"/>
      <c r="B292" s="8"/>
      <c r="C292" s="1"/>
      <c r="D292" s="1"/>
      <c r="E292" s="9"/>
      <c r="F292" s="10"/>
      <c r="G292" s="1"/>
      <c r="H292" s="1"/>
      <c r="I292" s="1"/>
      <c r="J292" s="1"/>
      <c r="K292" s="1"/>
      <c r="L292" s="1"/>
      <c r="M292" s="11"/>
      <c r="N292" s="1"/>
      <c r="O292" s="1"/>
      <c r="P292" s="1"/>
      <c r="Q292" s="11"/>
      <c r="R292" s="1"/>
      <c r="S292" s="1"/>
      <c r="T292" s="1"/>
      <c r="U292" s="1"/>
      <c r="V292" s="1"/>
      <c r="W292" s="1"/>
      <c r="X292" s="1"/>
      <c r="Y292" s="1"/>
      <c r="Z292" s="1"/>
      <c r="AA292" s="11"/>
      <c r="AB292" s="11"/>
      <c r="AC292" s="1"/>
      <c r="AD292" s="1"/>
      <c r="AE292" s="11"/>
      <c r="AF292" s="11"/>
      <c r="AG292" s="1"/>
      <c r="AH292" s="11"/>
      <c r="AI292" s="11"/>
      <c r="AJ292" s="1"/>
      <c r="AK292" s="1"/>
      <c r="AL292" s="11"/>
      <c r="AM292" s="11"/>
      <c r="AN292" s="1"/>
      <c r="AO292" s="1"/>
      <c r="AP292" s="1"/>
    </row>
    <row x14ac:dyDescent="0.25" r="293" customHeight="1" ht="18.75">
      <c r="A293" s="7"/>
      <c r="B293" s="8"/>
      <c r="C293" s="1"/>
      <c r="D293" s="1"/>
      <c r="E293" s="9"/>
      <c r="F293" s="10"/>
      <c r="G293" s="1"/>
      <c r="H293" s="1"/>
      <c r="I293" s="1"/>
      <c r="J293" s="1"/>
      <c r="K293" s="1"/>
      <c r="L293" s="1"/>
      <c r="M293" s="11"/>
      <c r="N293" s="1"/>
      <c r="O293" s="1"/>
      <c r="P293" s="1"/>
      <c r="Q293" s="11"/>
      <c r="R293" s="1"/>
      <c r="S293" s="1"/>
      <c r="T293" s="1"/>
      <c r="U293" s="1"/>
      <c r="V293" s="1"/>
      <c r="W293" s="1"/>
      <c r="X293" s="1"/>
      <c r="Y293" s="1"/>
      <c r="Z293" s="1"/>
      <c r="AA293" s="11"/>
      <c r="AB293" s="11"/>
      <c r="AC293" s="1"/>
      <c r="AD293" s="1"/>
      <c r="AE293" s="11"/>
      <c r="AF293" s="11"/>
      <c r="AG293" s="1"/>
      <c r="AH293" s="11"/>
      <c r="AI293" s="11"/>
      <c r="AJ293" s="1"/>
      <c r="AK293" s="1"/>
      <c r="AL293" s="11"/>
      <c r="AM293" s="11"/>
      <c r="AN293" s="1"/>
      <c r="AO293" s="1"/>
      <c r="AP293" s="1"/>
    </row>
    <row x14ac:dyDescent="0.25" r="294" customHeight="1" ht="18.75">
      <c r="A294" s="7"/>
      <c r="B294" s="8"/>
      <c r="C294" s="1"/>
      <c r="D294" s="1"/>
      <c r="E294" s="9"/>
      <c r="F294" s="10"/>
      <c r="G294" s="1"/>
      <c r="H294" s="1"/>
      <c r="I294" s="1"/>
      <c r="J294" s="1"/>
      <c r="K294" s="1"/>
      <c r="L294" s="1"/>
      <c r="M294" s="11"/>
      <c r="N294" s="1"/>
      <c r="O294" s="1"/>
      <c r="P294" s="1"/>
      <c r="Q294" s="11"/>
      <c r="R294" s="1"/>
      <c r="S294" s="1"/>
      <c r="T294" s="1"/>
      <c r="U294" s="1"/>
      <c r="V294" s="1"/>
      <c r="W294" s="1"/>
      <c r="X294" s="1"/>
      <c r="Y294" s="1"/>
      <c r="Z294" s="1"/>
      <c r="AA294" s="11"/>
      <c r="AB294" s="11"/>
      <c r="AC294" s="1"/>
      <c r="AD294" s="1"/>
      <c r="AE294" s="11"/>
      <c r="AF294" s="11"/>
      <c r="AG294" s="1"/>
      <c r="AH294" s="11"/>
      <c r="AI294" s="11"/>
      <c r="AJ294" s="1"/>
      <c r="AK294" s="1"/>
      <c r="AL294" s="11"/>
      <c r="AM294" s="11"/>
      <c r="AN294" s="1"/>
      <c r="AO294" s="1"/>
      <c r="AP294" s="1"/>
    </row>
    <row x14ac:dyDescent="0.25" r="295" customHeight="1" ht="18.75">
      <c r="A295" s="7"/>
      <c r="B295" s="8"/>
      <c r="C295" s="1"/>
      <c r="D295" s="1"/>
      <c r="E295" s="9"/>
      <c r="F295" s="10"/>
      <c r="G295" s="1"/>
      <c r="H295" s="1"/>
      <c r="I295" s="1"/>
      <c r="J295" s="1"/>
      <c r="K295" s="1"/>
      <c r="L295" s="1"/>
      <c r="M295" s="11"/>
      <c r="N295" s="1"/>
      <c r="O295" s="1"/>
      <c r="P295" s="1"/>
      <c r="Q295" s="11"/>
      <c r="R295" s="1"/>
      <c r="S295" s="1"/>
      <c r="T295" s="1"/>
      <c r="U295" s="1"/>
      <c r="V295" s="1"/>
      <c r="W295" s="1"/>
      <c r="X295" s="1"/>
      <c r="Y295" s="1"/>
      <c r="Z295" s="1"/>
      <c r="AA295" s="11"/>
      <c r="AB295" s="11"/>
      <c r="AC295" s="1"/>
      <c r="AD295" s="1"/>
      <c r="AE295" s="11"/>
      <c r="AF295" s="11"/>
      <c r="AG295" s="1"/>
      <c r="AH295" s="11"/>
      <c r="AI295" s="11"/>
      <c r="AJ295" s="1"/>
      <c r="AK295" s="1"/>
      <c r="AL295" s="11"/>
      <c r="AM295" s="11"/>
      <c r="AN295" s="1"/>
      <c r="AO295" s="1"/>
      <c r="AP295" s="1"/>
    </row>
    <row x14ac:dyDescent="0.25" r="296" customHeight="1" ht="18.75">
      <c r="A296" s="7"/>
      <c r="B296" s="8"/>
      <c r="C296" s="1"/>
      <c r="D296" s="1"/>
      <c r="E296" s="9"/>
      <c r="F296" s="10"/>
      <c r="G296" s="1"/>
      <c r="H296" s="1"/>
      <c r="I296" s="1"/>
      <c r="J296" s="1"/>
      <c r="K296" s="1"/>
      <c r="L296" s="1"/>
      <c r="M296" s="11"/>
      <c r="N296" s="1"/>
      <c r="O296" s="1"/>
      <c r="P296" s="1"/>
      <c r="Q296" s="11"/>
      <c r="R296" s="1"/>
      <c r="S296" s="1"/>
      <c r="T296" s="1"/>
      <c r="U296" s="1"/>
      <c r="V296" s="1"/>
      <c r="W296" s="1"/>
      <c r="X296" s="1"/>
      <c r="Y296" s="1"/>
      <c r="Z296" s="1"/>
      <c r="AA296" s="11"/>
      <c r="AB296" s="11"/>
      <c r="AC296" s="1"/>
      <c r="AD296" s="1"/>
      <c r="AE296" s="11"/>
      <c r="AF296" s="11"/>
      <c r="AG296" s="1"/>
      <c r="AH296" s="11"/>
      <c r="AI296" s="11"/>
      <c r="AJ296" s="1"/>
      <c r="AK296" s="1"/>
      <c r="AL296" s="11"/>
      <c r="AM296" s="11"/>
      <c r="AN296" s="1"/>
      <c r="AO296" s="1"/>
      <c r="AP296" s="1"/>
    </row>
    <row x14ac:dyDescent="0.25" r="297" customHeight="1" ht="18.75">
      <c r="A297" s="7"/>
      <c r="B297" s="8"/>
      <c r="C297" s="1"/>
      <c r="D297" s="1"/>
      <c r="E297" s="9"/>
      <c r="F297" s="10"/>
      <c r="G297" s="1"/>
      <c r="H297" s="1"/>
      <c r="I297" s="1"/>
      <c r="J297" s="1"/>
      <c r="K297" s="1"/>
      <c r="L297" s="1"/>
      <c r="M297" s="11"/>
      <c r="N297" s="1"/>
      <c r="O297" s="1"/>
      <c r="P297" s="1"/>
      <c r="Q297" s="11"/>
      <c r="R297" s="1"/>
      <c r="S297" s="1"/>
      <c r="T297" s="1"/>
      <c r="U297" s="1"/>
      <c r="V297" s="1"/>
      <c r="W297" s="1"/>
      <c r="X297" s="1"/>
      <c r="Y297" s="1"/>
      <c r="Z297" s="1"/>
      <c r="AA297" s="11"/>
      <c r="AB297" s="11"/>
      <c r="AC297" s="1"/>
      <c r="AD297" s="1"/>
      <c r="AE297" s="11"/>
      <c r="AF297" s="11"/>
      <c r="AG297" s="1"/>
      <c r="AH297" s="11"/>
      <c r="AI297" s="11"/>
      <c r="AJ297" s="1"/>
      <c r="AK297" s="1"/>
      <c r="AL297" s="11"/>
      <c r="AM297" s="11"/>
      <c r="AN297" s="1"/>
      <c r="AO297" s="1"/>
      <c r="AP297" s="1"/>
    </row>
    <row x14ac:dyDescent="0.25" r="298" customHeight="1" ht="18.75">
      <c r="A298" s="7"/>
      <c r="B298" s="12" t="s">
        <v>1001</v>
      </c>
      <c r="C298" s="1"/>
      <c r="D298" s="1"/>
      <c r="E298" s="9"/>
      <c r="F298" s="10"/>
      <c r="G298" s="1"/>
      <c r="H298" s="1"/>
      <c r="I298" s="1"/>
      <c r="J298" s="1"/>
      <c r="K298" s="1"/>
      <c r="L298" s="1"/>
      <c r="M298" s="11"/>
      <c r="N298" s="1"/>
      <c r="O298" s="1"/>
      <c r="P298" s="1"/>
      <c r="Q298" s="11"/>
      <c r="R298" s="1"/>
      <c r="S298" s="1"/>
      <c r="T298" s="1"/>
      <c r="U298" s="1"/>
      <c r="V298" s="1"/>
      <c r="W298" s="1"/>
      <c r="X298" s="1"/>
      <c r="Y298" s="1"/>
      <c r="Z298" s="1"/>
      <c r="AA298" s="11"/>
      <c r="AB298" s="11"/>
      <c r="AC298" s="1"/>
      <c r="AD298" s="1"/>
      <c r="AE298" s="11"/>
      <c r="AF298" s="11"/>
      <c r="AG298" s="1"/>
      <c r="AH298" s="11"/>
      <c r="AI298" s="11"/>
      <c r="AJ298" s="1"/>
      <c r="AK298" s="1"/>
      <c r="AL298" s="11"/>
      <c r="AM298" s="11"/>
      <c r="AN298" s="1"/>
      <c r="AO298" s="1"/>
      <c r="AP298" s="1"/>
    </row>
    <row x14ac:dyDescent="0.25" r="299" customHeight="1" ht="18.75">
      <c r="A299" s="7"/>
      <c r="B299" s="14" t="s">
        <v>130</v>
      </c>
      <c r="C299" s="15" t="s">
        <v>131</v>
      </c>
      <c r="D299" s="16" t="s">
        <v>132</v>
      </c>
      <c r="E299" s="17" t="s">
        <v>133</v>
      </c>
      <c r="F299" s="15" t="s">
        <v>126</v>
      </c>
      <c r="G299" s="1"/>
      <c r="H299" s="1"/>
      <c r="I299" s="1"/>
      <c r="J299" s="1"/>
      <c r="K299" s="1"/>
      <c r="L299" s="1"/>
      <c r="M299" s="11"/>
      <c r="N299" s="1"/>
      <c r="O299" s="1"/>
      <c r="P299" s="1"/>
      <c r="Q299" s="11"/>
      <c r="R299" s="1"/>
      <c r="S299" s="1"/>
      <c r="T299" s="1"/>
      <c r="U299" s="1"/>
      <c r="V299" s="1"/>
      <c r="W299" s="1"/>
      <c r="X299" s="1"/>
      <c r="Y299" s="1"/>
      <c r="Z299" s="1"/>
      <c r="AA299" s="11"/>
      <c r="AB299" s="11"/>
      <c r="AC299" s="1"/>
      <c r="AD299" s="1"/>
      <c r="AE299" s="11"/>
      <c r="AF299" s="11"/>
      <c r="AG299" s="1"/>
      <c r="AH299" s="11"/>
      <c r="AI299" s="11"/>
      <c r="AJ299" s="1"/>
      <c r="AK299" s="1"/>
      <c r="AL299" s="11"/>
      <c r="AM299" s="11"/>
      <c r="AN299" s="1"/>
      <c r="AO299" s="1"/>
      <c r="AP299" s="1"/>
    </row>
    <row x14ac:dyDescent="0.25" r="300" customHeight="1" ht="18.75">
      <c r="A300" s="19">
        <f>+LEN(E300)</f>
      </c>
      <c r="B300" s="69" t="s">
        <v>974</v>
      </c>
      <c r="C300" s="70" t="s">
        <v>975</v>
      </c>
      <c r="D300" s="70" t="s">
        <v>165</v>
      </c>
      <c r="E300" s="71" t="s">
        <v>1002</v>
      </c>
      <c r="F300" s="72" t="s">
        <v>128</v>
      </c>
      <c r="G300" s="1"/>
      <c r="H300" s="1"/>
      <c r="I300" s="1"/>
      <c r="J300" s="1"/>
      <c r="K300" s="1"/>
      <c r="L300" s="1"/>
      <c r="M300" s="11"/>
      <c r="N300" s="1"/>
      <c r="O300" s="1"/>
      <c r="P300" s="1"/>
      <c r="Q300" s="11"/>
      <c r="R300" s="1"/>
      <c r="S300" s="1"/>
      <c r="T300" s="1"/>
      <c r="U300" s="1"/>
      <c r="V300" s="1"/>
      <c r="W300" s="1"/>
      <c r="X300" s="1"/>
      <c r="Y300" s="1"/>
      <c r="Z300" s="1"/>
      <c r="AA300" s="11"/>
      <c r="AB300" s="11"/>
      <c r="AC300" s="1"/>
      <c r="AD300" s="1"/>
      <c r="AE300" s="11"/>
      <c r="AF300" s="11"/>
      <c r="AG300" s="1"/>
      <c r="AH300" s="11"/>
      <c r="AI300" s="11"/>
      <c r="AJ300" s="1"/>
      <c r="AK300" s="1"/>
      <c r="AL300" s="11"/>
      <c r="AM300" s="11"/>
      <c r="AN300" s="1"/>
      <c r="AO300" s="1"/>
      <c r="AP300" s="1"/>
    </row>
    <row x14ac:dyDescent="0.25" r="301" customHeight="1" ht="18.75">
      <c r="A301" s="19">
        <f>+LEN(E301)</f>
      </c>
      <c r="B301" s="20" t="s">
        <v>1003</v>
      </c>
      <c r="C301" s="73" t="s">
        <v>1004</v>
      </c>
      <c r="D301" s="73" t="s">
        <v>137</v>
      </c>
      <c r="E301" s="74" t="s">
        <v>1005</v>
      </c>
      <c r="F301" s="75" t="s">
        <v>128</v>
      </c>
      <c r="G301" s="1"/>
      <c r="H301" s="1"/>
      <c r="I301" s="1"/>
      <c r="J301" s="1"/>
      <c r="K301" s="1"/>
      <c r="L301" s="1"/>
      <c r="M301" s="11"/>
      <c r="N301" s="1"/>
      <c r="O301" s="1"/>
      <c r="P301" s="1"/>
      <c r="Q301" s="11"/>
      <c r="R301" s="1"/>
      <c r="S301" s="1"/>
      <c r="T301" s="1"/>
      <c r="U301" s="1"/>
      <c r="V301" s="1"/>
      <c r="W301" s="1"/>
      <c r="X301" s="1"/>
      <c r="Y301" s="1"/>
      <c r="Z301" s="1"/>
      <c r="AA301" s="11"/>
      <c r="AB301" s="11"/>
      <c r="AC301" s="1"/>
      <c r="AD301" s="1"/>
      <c r="AE301" s="11"/>
      <c r="AF301" s="11"/>
      <c r="AG301" s="1"/>
      <c r="AH301" s="11"/>
      <c r="AI301" s="11"/>
      <c r="AJ301" s="1"/>
      <c r="AK301" s="1"/>
      <c r="AL301" s="11"/>
      <c r="AM301" s="11"/>
      <c r="AN301" s="1"/>
      <c r="AO301" s="1"/>
      <c r="AP301" s="1"/>
    </row>
    <row x14ac:dyDescent="0.25" r="302" customHeight="1" ht="18.75">
      <c r="A302" s="19">
        <f>+LEN(E302)</f>
      </c>
      <c r="B302" s="69" t="s">
        <v>1006</v>
      </c>
      <c r="C302" s="76" t="s">
        <v>1007</v>
      </c>
      <c r="D302" s="76" t="s">
        <v>165</v>
      </c>
      <c r="E302" s="77" t="s">
        <v>1008</v>
      </c>
      <c r="F302" s="78" t="s">
        <v>128</v>
      </c>
      <c r="G302" s="1"/>
      <c r="H302" s="1"/>
      <c r="I302" s="1"/>
      <c r="J302" s="1"/>
      <c r="K302" s="1"/>
      <c r="L302" s="1"/>
      <c r="M302" s="11"/>
      <c r="N302" s="1"/>
      <c r="O302" s="1"/>
      <c r="P302" s="1"/>
      <c r="Q302" s="11"/>
      <c r="R302" s="1"/>
      <c r="S302" s="1"/>
      <c r="T302" s="1"/>
      <c r="U302" s="1"/>
      <c r="V302" s="1"/>
      <c r="W302" s="1"/>
      <c r="X302" s="1"/>
      <c r="Y302" s="1"/>
      <c r="Z302" s="1"/>
      <c r="AA302" s="11"/>
      <c r="AB302" s="11"/>
      <c r="AC302" s="1"/>
      <c r="AD302" s="1"/>
      <c r="AE302" s="11"/>
      <c r="AF302" s="11"/>
      <c r="AG302" s="1"/>
      <c r="AH302" s="11"/>
      <c r="AI302" s="11"/>
      <c r="AJ302" s="1"/>
      <c r="AK302" s="1"/>
      <c r="AL302" s="11"/>
      <c r="AM302" s="11"/>
      <c r="AN302" s="1"/>
      <c r="AO302" s="1"/>
      <c r="AP302" s="1"/>
    </row>
    <row x14ac:dyDescent="0.25" r="303" customHeight="1" ht="18.75">
      <c r="A303" s="19">
        <f>+LEN(E303)</f>
      </c>
      <c r="B303" s="20" t="s">
        <v>1009</v>
      </c>
      <c r="C303" s="73" t="s">
        <v>1010</v>
      </c>
      <c r="D303" s="73" t="s">
        <v>137</v>
      </c>
      <c r="E303" s="74" t="s">
        <v>1011</v>
      </c>
      <c r="F303" s="75" t="s">
        <v>128</v>
      </c>
      <c r="G303" s="1"/>
      <c r="H303" s="1"/>
      <c r="I303" s="1"/>
      <c r="J303" s="1"/>
      <c r="K303" s="1"/>
      <c r="L303" s="1"/>
      <c r="M303" s="11"/>
      <c r="N303" s="1"/>
      <c r="O303" s="1"/>
      <c r="P303" s="1"/>
      <c r="Q303" s="11"/>
      <c r="R303" s="1"/>
      <c r="S303" s="1"/>
      <c r="T303" s="1"/>
      <c r="U303" s="1"/>
      <c r="V303" s="1"/>
      <c r="W303" s="1"/>
      <c r="X303" s="1"/>
      <c r="Y303" s="1"/>
      <c r="Z303" s="1"/>
      <c r="AA303" s="11"/>
      <c r="AB303" s="11"/>
      <c r="AC303" s="1"/>
      <c r="AD303" s="1"/>
      <c r="AE303" s="11"/>
      <c r="AF303" s="11"/>
      <c r="AG303" s="1"/>
      <c r="AH303" s="11"/>
      <c r="AI303" s="11"/>
      <c r="AJ303" s="1"/>
      <c r="AK303" s="1"/>
      <c r="AL303" s="11"/>
      <c r="AM303" s="11"/>
      <c r="AN303" s="1"/>
      <c r="AO303" s="1"/>
      <c r="AP303" s="1"/>
    </row>
    <row x14ac:dyDescent="0.25" r="304" customHeight="1" ht="18.75">
      <c r="A304" s="19">
        <f>+LEN(E304)</f>
      </c>
      <c r="B304" s="69" t="s">
        <v>182</v>
      </c>
      <c r="C304" s="76" t="s">
        <v>183</v>
      </c>
      <c r="D304" s="76" t="s">
        <v>137</v>
      </c>
      <c r="E304" s="77" t="s">
        <v>1012</v>
      </c>
      <c r="F304" s="78" t="s">
        <v>128</v>
      </c>
      <c r="G304" s="1"/>
      <c r="H304" s="1"/>
      <c r="I304" s="1"/>
      <c r="J304" s="1"/>
      <c r="K304" s="1"/>
      <c r="L304" s="1"/>
      <c r="M304" s="11"/>
      <c r="N304" s="1"/>
      <c r="O304" s="1"/>
      <c r="P304" s="1"/>
      <c r="Q304" s="11"/>
      <c r="R304" s="1"/>
      <c r="S304" s="1"/>
      <c r="T304" s="1"/>
      <c r="U304" s="1"/>
      <c r="V304" s="1"/>
      <c r="W304" s="1"/>
      <c r="X304" s="1"/>
      <c r="Y304" s="1"/>
      <c r="Z304" s="1"/>
      <c r="AA304" s="11"/>
      <c r="AB304" s="11"/>
      <c r="AC304" s="1"/>
      <c r="AD304" s="1"/>
      <c r="AE304" s="11"/>
      <c r="AF304" s="11"/>
      <c r="AG304" s="1"/>
      <c r="AH304" s="11"/>
      <c r="AI304" s="11"/>
      <c r="AJ304" s="1"/>
      <c r="AK304" s="1"/>
      <c r="AL304" s="11"/>
      <c r="AM304" s="11"/>
      <c r="AN304" s="1"/>
      <c r="AO304" s="1"/>
      <c r="AP304" s="1"/>
    </row>
    <row x14ac:dyDescent="0.25" r="305" customHeight="1" ht="18.75">
      <c r="A305" s="19">
        <f>+LEN(E305)</f>
      </c>
      <c r="B305" s="69" t="s">
        <v>997</v>
      </c>
      <c r="C305" s="76" t="s">
        <v>998</v>
      </c>
      <c r="D305" s="76" t="s">
        <v>165</v>
      </c>
      <c r="E305" s="77" t="s">
        <v>1013</v>
      </c>
      <c r="F305" s="78" t="s">
        <v>128</v>
      </c>
      <c r="G305" s="1"/>
      <c r="H305" s="1"/>
      <c r="I305" s="1"/>
      <c r="J305" s="1"/>
      <c r="K305" s="1"/>
      <c r="L305" s="1"/>
      <c r="M305" s="11"/>
      <c r="N305" s="1"/>
      <c r="O305" s="1"/>
      <c r="P305" s="1"/>
      <c r="Q305" s="11"/>
      <c r="R305" s="1"/>
      <c r="S305" s="1"/>
      <c r="T305" s="1"/>
      <c r="U305" s="1"/>
      <c r="V305" s="1"/>
      <c r="W305" s="1"/>
      <c r="X305" s="1"/>
      <c r="Y305" s="1"/>
      <c r="Z305" s="1"/>
      <c r="AA305" s="11"/>
      <c r="AB305" s="11"/>
      <c r="AC305" s="1"/>
      <c r="AD305" s="1"/>
      <c r="AE305" s="11"/>
      <c r="AF305" s="11"/>
      <c r="AG305" s="1"/>
      <c r="AH305" s="11"/>
      <c r="AI305" s="11"/>
      <c r="AJ305" s="1"/>
      <c r="AK305" s="1"/>
      <c r="AL305" s="11"/>
      <c r="AM305" s="11"/>
      <c r="AN305" s="1"/>
      <c r="AO305" s="1"/>
      <c r="AP305" s="1"/>
    </row>
    <row x14ac:dyDescent="0.25" r="306" customHeight="1" ht="18.75">
      <c r="A306" s="19">
        <f>+LEN(E306)</f>
      </c>
      <c r="B306" s="69" t="s">
        <v>999</v>
      </c>
      <c r="C306" s="76" t="s">
        <v>1000</v>
      </c>
      <c r="D306" s="76" t="s">
        <v>165</v>
      </c>
      <c r="E306" s="77" t="s">
        <v>1014</v>
      </c>
      <c r="F306" s="78" t="s">
        <v>128</v>
      </c>
      <c r="G306" s="1"/>
      <c r="H306" s="1"/>
      <c r="I306" s="1"/>
      <c r="J306" s="1"/>
      <c r="K306" s="1"/>
      <c r="L306" s="1"/>
      <c r="M306" s="11"/>
      <c r="N306" s="1"/>
      <c r="O306" s="1"/>
      <c r="P306" s="1"/>
      <c r="Q306" s="11"/>
      <c r="R306" s="1"/>
      <c r="S306" s="1"/>
      <c r="T306" s="1"/>
      <c r="U306" s="1"/>
      <c r="V306" s="1"/>
      <c r="W306" s="1"/>
      <c r="X306" s="1"/>
      <c r="Y306" s="1"/>
      <c r="Z306" s="1"/>
      <c r="AA306" s="11"/>
      <c r="AB306" s="11"/>
      <c r="AC306" s="1"/>
      <c r="AD306" s="1"/>
      <c r="AE306" s="11"/>
      <c r="AF306" s="11"/>
      <c r="AG306" s="1"/>
      <c r="AH306" s="11"/>
      <c r="AI306" s="11"/>
      <c r="AJ306" s="1"/>
      <c r="AK306" s="1"/>
      <c r="AL306" s="11"/>
      <c r="AM306" s="11"/>
      <c r="AN306" s="1"/>
      <c r="AO306" s="1"/>
      <c r="AP306" s="1"/>
    </row>
    <row x14ac:dyDescent="0.25" r="307" customHeight="1" ht="18.75">
      <c r="A307" s="19">
        <f>+LEN(E307)</f>
      </c>
      <c r="B307" s="69" t="s">
        <v>1015</v>
      </c>
      <c r="C307" s="76" t="s">
        <v>1016</v>
      </c>
      <c r="D307" s="76" t="s">
        <v>165</v>
      </c>
      <c r="E307" s="77" t="s">
        <v>1017</v>
      </c>
      <c r="F307" s="78" t="s">
        <v>128</v>
      </c>
      <c r="G307" s="1"/>
      <c r="H307" s="1"/>
      <c r="I307" s="1"/>
      <c r="J307" s="1"/>
      <c r="K307" s="1"/>
      <c r="L307" s="1"/>
      <c r="M307" s="11"/>
      <c r="N307" s="1"/>
      <c r="O307" s="1"/>
      <c r="P307" s="1"/>
      <c r="Q307" s="11"/>
      <c r="R307" s="1"/>
      <c r="S307" s="1"/>
      <c r="T307" s="1"/>
      <c r="U307" s="1"/>
      <c r="V307" s="1"/>
      <c r="W307" s="1"/>
      <c r="X307" s="1"/>
      <c r="Y307" s="1"/>
      <c r="Z307" s="1"/>
      <c r="AA307" s="11"/>
      <c r="AB307" s="11"/>
      <c r="AC307" s="1"/>
      <c r="AD307" s="1"/>
      <c r="AE307" s="11"/>
      <c r="AF307" s="11"/>
      <c r="AG307" s="1"/>
      <c r="AH307" s="11"/>
      <c r="AI307" s="11"/>
      <c r="AJ307" s="1"/>
      <c r="AK307" s="1"/>
      <c r="AL307" s="11"/>
      <c r="AM307" s="11"/>
      <c r="AN307" s="1"/>
      <c r="AO307" s="1"/>
      <c r="AP307" s="1"/>
    </row>
    <row x14ac:dyDescent="0.25" r="308" customHeight="1" ht="18.75">
      <c r="A308" s="19">
        <f>+LEN(E308)</f>
      </c>
      <c r="B308" s="69" t="s">
        <v>1018</v>
      </c>
      <c r="C308" s="76" t="s">
        <v>1019</v>
      </c>
      <c r="D308" s="76" t="s">
        <v>165</v>
      </c>
      <c r="E308" s="77" t="s">
        <v>1020</v>
      </c>
      <c r="F308" s="78" t="s">
        <v>128</v>
      </c>
      <c r="G308" s="1"/>
      <c r="H308" s="1"/>
      <c r="I308" s="1"/>
      <c r="J308" s="1"/>
      <c r="K308" s="1"/>
      <c r="L308" s="1"/>
      <c r="M308" s="11"/>
      <c r="N308" s="1"/>
      <c r="O308" s="1"/>
      <c r="P308" s="1"/>
      <c r="Q308" s="11"/>
      <c r="R308" s="1"/>
      <c r="S308" s="1"/>
      <c r="T308" s="1"/>
      <c r="U308" s="1"/>
      <c r="V308" s="1"/>
      <c r="W308" s="1"/>
      <c r="X308" s="1"/>
      <c r="Y308" s="1"/>
      <c r="Z308" s="1"/>
      <c r="AA308" s="11"/>
      <c r="AB308" s="11"/>
      <c r="AC308" s="1"/>
      <c r="AD308" s="1"/>
      <c r="AE308" s="11"/>
      <c r="AF308" s="11"/>
      <c r="AG308" s="1"/>
      <c r="AH308" s="11"/>
      <c r="AI308" s="11"/>
      <c r="AJ308" s="1"/>
      <c r="AK308" s="1"/>
      <c r="AL308" s="11"/>
      <c r="AM308" s="11"/>
      <c r="AN308" s="1"/>
      <c r="AO308" s="1"/>
      <c r="AP308" s="1"/>
    </row>
    <row x14ac:dyDescent="0.25" r="309" customHeight="1" ht="18.75">
      <c r="A309" s="19">
        <f>+LEN(E309)</f>
      </c>
      <c r="B309" s="69" t="s">
        <v>960</v>
      </c>
      <c r="C309" s="76" t="s">
        <v>961</v>
      </c>
      <c r="D309" s="76" t="s">
        <v>137</v>
      </c>
      <c r="E309" s="77" t="s">
        <v>1021</v>
      </c>
      <c r="F309" s="78" t="s">
        <v>128</v>
      </c>
      <c r="G309" s="1"/>
      <c r="H309" s="1"/>
      <c r="I309" s="1"/>
      <c r="J309" s="1"/>
      <c r="K309" s="1"/>
      <c r="L309" s="1"/>
      <c r="M309" s="11"/>
      <c r="N309" s="1"/>
      <c r="O309" s="1"/>
      <c r="P309" s="1"/>
      <c r="Q309" s="11"/>
      <c r="R309" s="1"/>
      <c r="S309" s="1"/>
      <c r="T309" s="1"/>
      <c r="U309" s="1"/>
      <c r="V309" s="1"/>
      <c r="W309" s="1"/>
      <c r="X309" s="1"/>
      <c r="Y309" s="1"/>
      <c r="Z309" s="1"/>
      <c r="AA309" s="11"/>
      <c r="AB309" s="11"/>
      <c r="AC309" s="1"/>
      <c r="AD309" s="1"/>
      <c r="AE309" s="11"/>
      <c r="AF309" s="11"/>
      <c r="AG309" s="1"/>
      <c r="AH309" s="11"/>
      <c r="AI309" s="11"/>
      <c r="AJ309" s="1"/>
      <c r="AK309" s="1"/>
      <c r="AL309" s="11"/>
      <c r="AM309" s="11"/>
      <c r="AN309" s="1"/>
      <c r="AO309" s="1"/>
      <c r="AP309" s="1"/>
    </row>
    <row x14ac:dyDescent="0.25" r="310" customHeight="1" ht="18.75">
      <c r="A310" s="19">
        <f>+LEN(E310)</f>
      </c>
      <c r="B310" s="69" t="s">
        <v>1022</v>
      </c>
      <c r="C310" s="76" t="s">
        <v>1023</v>
      </c>
      <c r="D310" s="76" t="s">
        <v>165</v>
      </c>
      <c r="E310" s="77" t="s">
        <v>1024</v>
      </c>
      <c r="F310" s="78" t="s">
        <v>128</v>
      </c>
      <c r="G310" s="1"/>
      <c r="H310" s="1"/>
      <c r="I310" s="1"/>
      <c r="J310" s="1"/>
      <c r="K310" s="1"/>
      <c r="L310" s="1"/>
      <c r="M310" s="11"/>
      <c r="N310" s="1"/>
      <c r="O310" s="1"/>
      <c r="P310" s="1"/>
      <c r="Q310" s="11"/>
      <c r="R310" s="1"/>
      <c r="S310" s="1"/>
      <c r="T310" s="1"/>
      <c r="U310" s="1"/>
      <c r="V310" s="1"/>
      <c r="W310" s="1"/>
      <c r="X310" s="1"/>
      <c r="Y310" s="1"/>
      <c r="Z310" s="1"/>
      <c r="AA310" s="11"/>
      <c r="AB310" s="11"/>
      <c r="AC310" s="1"/>
      <c r="AD310" s="1"/>
      <c r="AE310" s="11"/>
      <c r="AF310" s="11"/>
      <c r="AG310" s="1"/>
      <c r="AH310" s="11"/>
      <c r="AI310" s="11"/>
      <c r="AJ310" s="1"/>
      <c r="AK310" s="1"/>
      <c r="AL310" s="11"/>
      <c r="AM310" s="11"/>
      <c r="AN310" s="1"/>
      <c r="AO310" s="1"/>
      <c r="AP310" s="1"/>
    </row>
    <row x14ac:dyDescent="0.25" r="311" customHeight="1" ht="18.75">
      <c r="A311" s="19">
        <f>+LEN(E311)</f>
      </c>
      <c r="B311" s="69" t="s">
        <v>231</v>
      </c>
      <c r="C311" s="76" t="s">
        <v>232</v>
      </c>
      <c r="D311" s="76" t="s">
        <v>137</v>
      </c>
      <c r="E311" s="77" t="s">
        <v>1025</v>
      </c>
      <c r="F311" s="78" t="s">
        <v>128</v>
      </c>
      <c r="G311" s="1"/>
      <c r="H311" s="1"/>
      <c r="I311" s="1"/>
      <c r="J311" s="1"/>
      <c r="K311" s="1"/>
      <c r="L311" s="1"/>
      <c r="M311" s="11"/>
      <c r="N311" s="1"/>
      <c r="O311" s="1"/>
      <c r="P311" s="1"/>
      <c r="Q311" s="11"/>
      <c r="R311" s="1"/>
      <c r="S311" s="1"/>
      <c r="T311" s="1"/>
      <c r="U311" s="1"/>
      <c r="V311" s="1"/>
      <c r="W311" s="1"/>
      <c r="X311" s="1"/>
      <c r="Y311" s="1"/>
      <c r="Z311" s="1"/>
      <c r="AA311" s="11"/>
      <c r="AB311" s="11"/>
      <c r="AC311" s="1"/>
      <c r="AD311" s="1"/>
      <c r="AE311" s="11"/>
      <c r="AF311" s="11"/>
      <c r="AG311" s="1"/>
      <c r="AH311" s="11"/>
      <c r="AI311" s="11"/>
      <c r="AJ311" s="1"/>
      <c r="AK311" s="1"/>
      <c r="AL311" s="11"/>
      <c r="AM311" s="11"/>
      <c r="AN311" s="1"/>
      <c r="AO311" s="1"/>
      <c r="AP311" s="1"/>
    </row>
    <row x14ac:dyDescent="0.25" r="312" customHeight="1" ht="18.75">
      <c r="A312" s="19">
        <f>+LEN(E312)</f>
      </c>
      <c r="B312" s="69" t="s">
        <v>237</v>
      </c>
      <c r="C312" s="76" t="s">
        <v>238</v>
      </c>
      <c r="D312" s="76" t="s">
        <v>137</v>
      </c>
      <c r="E312" s="77" t="s">
        <v>1026</v>
      </c>
      <c r="F312" s="78" t="s">
        <v>128</v>
      </c>
      <c r="G312" s="1"/>
      <c r="H312" s="1"/>
      <c r="I312" s="1"/>
      <c r="J312" s="1"/>
      <c r="K312" s="1"/>
      <c r="L312" s="1"/>
      <c r="M312" s="11"/>
      <c r="N312" s="1"/>
      <c r="O312" s="1"/>
      <c r="P312" s="1"/>
      <c r="Q312" s="11"/>
      <c r="R312" s="1"/>
      <c r="S312" s="1"/>
      <c r="T312" s="1"/>
      <c r="U312" s="1"/>
      <c r="V312" s="1"/>
      <c r="W312" s="1"/>
      <c r="X312" s="1"/>
      <c r="Y312" s="1"/>
      <c r="Z312" s="1"/>
      <c r="AA312" s="11"/>
      <c r="AB312" s="11"/>
      <c r="AC312" s="1"/>
      <c r="AD312" s="1"/>
      <c r="AE312" s="11"/>
      <c r="AF312" s="11"/>
      <c r="AG312" s="1"/>
      <c r="AH312" s="11"/>
      <c r="AI312" s="11"/>
      <c r="AJ312" s="1"/>
      <c r="AK312" s="1"/>
      <c r="AL312" s="11"/>
      <c r="AM312" s="11"/>
      <c r="AN312" s="1"/>
      <c r="AO312" s="1"/>
      <c r="AP312" s="1"/>
    </row>
    <row x14ac:dyDescent="0.25" r="313" customHeight="1" ht="18.75">
      <c r="A313" s="19">
        <f>+LEN(E313)</f>
      </c>
      <c r="B313" s="69" t="s">
        <v>714</v>
      </c>
      <c r="C313" s="76" t="s">
        <v>715</v>
      </c>
      <c r="D313" s="76" t="s">
        <v>165</v>
      </c>
      <c r="E313" s="77" t="s">
        <v>1027</v>
      </c>
      <c r="F313" s="78" t="s">
        <v>128</v>
      </c>
      <c r="G313" s="1"/>
      <c r="H313" s="1"/>
      <c r="I313" s="1"/>
      <c r="J313" s="1"/>
      <c r="K313" s="1"/>
      <c r="L313" s="1"/>
      <c r="M313" s="11"/>
      <c r="N313" s="1"/>
      <c r="O313" s="1"/>
      <c r="P313" s="1"/>
      <c r="Q313" s="11"/>
      <c r="R313" s="1"/>
      <c r="S313" s="1"/>
      <c r="T313" s="1"/>
      <c r="U313" s="1"/>
      <c r="V313" s="1"/>
      <c r="W313" s="1"/>
      <c r="X313" s="1"/>
      <c r="Y313" s="1"/>
      <c r="Z313" s="1"/>
      <c r="AA313" s="11"/>
      <c r="AB313" s="11"/>
      <c r="AC313" s="1"/>
      <c r="AD313" s="1"/>
      <c r="AE313" s="11"/>
      <c r="AF313" s="11"/>
      <c r="AG313" s="1"/>
      <c r="AH313" s="11"/>
      <c r="AI313" s="11"/>
      <c r="AJ313" s="1"/>
      <c r="AK313" s="1"/>
      <c r="AL313" s="11"/>
      <c r="AM313" s="11"/>
      <c r="AN313" s="1"/>
      <c r="AO313" s="1"/>
      <c r="AP313" s="1"/>
    </row>
    <row x14ac:dyDescent="0.25" r="314" customHeight="1" ht="18.75">
      <c r="A314" s="19">
        <f>+LEN(E314)</f>
      </c>
      <c r="B314" s="69" t="s">
        <v>886</v>
      </c>
      <c r="C314" s="76" t="s">
        <v>887</v>
      </c>
      <c r="D314" s="76" t="s">
        <v>165</v>
      </c>
      <c r="E314" s="77" t="s">
        <v>1028</v>
      </c>
      <c r="F314" s="78" t="s">
        <v>128</v>
      </c>
      <c r="G314" s="1"/>
      <c r="H314" s="1"/>
      <c r="I314" s="1"/>
      <c r="J314" s="1"/>
      <c r="K314" s="1"/>
      <c r="L314" s="1"/>
      <c r="M314" s="11"/>
      <c r="N314" s="1"/>
      <c r="O314" s="1"/>
      <c r="P314" s="1"/>
      <c r="Q314" s="11"/>
      <c r="R314" s="1"/>
      <c r="S314" s="1"/>
      <c r="T314" s="1"/>
      <c r="U314" s="1"/>
      <c r="V314" s="1"/>
      <c r="W314" s="1"/>
      <c r="X314" s="1"/>
      <c r="Y314" s="1"/>
      <c r="Z314" s="1"/>
      <c r="AA314" s="11"/>
      <c r="AB314" s="11"/>
      <c r="AC314" s="1"/>
      <c r="AD314" s="1"/>
      <c r="AE314" s="11"/>
      <c r="AF314" s="11"/>
      <c r="AG314" s="1"/>
      <c r="AH314" s="11"/>
      <c r="AI314" s="11"/>
      <c r="AJ314" s="1"/>
      <c r="AK314" s="1"/>
      <c r="AL314" s="11"/>
      <c r="AM314" s="11"/>
      <c r="AN314" s="1"/>
      <c r="AO314" s="1"/>
      <c r="AP314" s="1"/>
    </row>
    <row x14ac:dyDescent="0.25" r="315" customHeight="1" ht="18.75">
      <c r="A315" s="19">
        <f>+LEN(E315)</f>
      </c>
      <c r="B315" s="69" t="s">
        <v>438</v>
      </c>
      <c r="C315" s="76" t="s">
        <v>439</v>
      </c>
      <c r="D315" s="76" t="s">
        <v>165</v>
      </c>
      <c r="E315" s="77" t="s">
        <v>1029</v>
      </c>
      <c r="F315" s="78" t="s">
        <v>128</v>
      </c>
      <c r="G315" s="1"/>
      <c r="H315" s="1"/>
      <c r="I315" s="1"/>
      <c r="J315" s="1"/>
      <c r="K315" s="1"/>
      <c r="L315" s="1"/>
      <c r="M315" s="11"/>
      <c r="N315" s="1"/>
      <c r="O315" s="1"/>
      <c r="P315" s="1"/>
      <c r="Q315" s="11"/>
      <c r="R315" s="1"/>
      <c r="S315" s="1"/>
      <c r="T315" s="1"/>
      <c r="U315" s="1"/>
      <c r="V315" s="1"/>
      <c r="W315" s="1"/>
      <c r="X315" s="1"/>
      <c r="Y315" s="1"/>
      <c r="Z315" s="1"/>
      <c r="AA315" s="11"/>
      <c r="AB315" s="11"/>
      <c r="AC315" s="1"/>
      <c r="AD315" s="1"/>
      <c r="AE315" s="11"/>
      <c r="AF315" s="11"/>
      <c r="AG315" s="1"/>
      <c r="AH315" s="11"/>
      <c r="AI315" s="11"/>
      <c r="AJ315" s="1"/>
      <c r="AK315" s="1"/>
      <c r="AL315" s="11"/>
      <c r="AM315" s="11"/>
      <c r="AN315" s="1"/>
      <c r="AO315" s="1"/>
      <c r="AP315" s="1"/>
    </row>
    <row x14ac:dyDescent="0.25" r="316" customHeight="1" ht="18.75">
      <c r="A316" s="19">
        <f>+LEN(E316)</f>
      </c>
      <c r="B316" s="69" t="s">
        <v>951</v>
      </c>
      <c r="C316" s="76" t="s">
        <v>952</v>
      </c>
      <c r="D316" s="76" t="s">
        <v>165</v>
      </c>
      <c r="E316" s="77" t="s">
        <v>1030</v>
      </c>
      <c r="F316" s="78" t="s">
        <v>128</v>
      </c>
      <c r="G316" s="1"/>
      <c r="H316" s="1"/>
      <c r="I316" s="1"/>
      <c r="J316" s="1"/>
      <c r="K316" s="1"/>
      <c r="L316" s="1"/>
      <c r="M316" s="11"/>
      <c r="N316" s="1"/>
      <c r="O316" s="1"/>
      <c r="P316" s="1"/>
      <c r="Q316" s="11"/>
      <c r="R316" s="1"/>
      <c r="S316" s="1"/>
      <c r="T316" s="1"/>
      <c r="U316" s="1"/>
      <c r="V316" s="1"/>
      <c r="W316" s="1"/>
      <c r="X316" s="1"/>
      <c r="Y316" s="1"/>
      <c r="Z316" s="1"/>
      <c r="AA316" s="11"/>
      <c r="AB316" s="11"/>
      <c r="AC316" s="1"/>
      <c r="AD316" s="1"/>
      <c r="AE316" s="11"/>
      <c r="AF316" s="11"/>
      <c r="AG316" s="1"/>
      <c r="AH316" s="11"/>
      <c r="AI316" s="11"/>
      <c r="AJ316" s="1"/>
      <c r="AK316" s="1"/>
      <c r="AL316" s="11"/>
      <c r="AM316" s="11"/>
      <c r="AN316" s="1"/>
      <c r="AO316" s="1"/>
      <c r="AP316" s="1"/>
    </row>
    <row x14ac:dyDescent="0.25" r="317" customHeight="1" ht="18.75">
      <c r="A317" s="19">
        <f>+LEN(E317)</f>
      </c>
      <c r="B317" s="79" t="s">
        <v>886</v>
      </c>
      <c r="C317" s="80" t="s">
        <v>887</v>
      </c>
      <c r="D317" s="80" t="s">
        <v>165</v>
      </c>
      <c r="E317" s="81" t="s">
        <v>1028</v>
      </c>
      <c r="F317" s="82" t="s">
        <v>128</v>
      </c>
      <c r="G317" s="1"/>
      <c r="H317" s="1"/>
      <c r="I317" s="1"/>
      <c r="J317" s="1"/>
      <c r="K317" s="1"/>
      <c r="L317" s="1"/>
      <c r="M317" s="11"/>
      <c r="N317" s="1"/>
      <c r="O317" s="1"/>
      <c r="P317" s="1"/>
      <c r="Q317" s="11"/>
      <c r="R317" s="1"/>
      <c r="S317" s="1"/>
      <c r="T317" s="1"/>
      <c r="U317" s="1"/>
      <c r="V317" s="1"/>
      <c r="W317" s="1"/>
      <c r="X317" s="1"/>
      <c r="Y317" s="1"/>
      <c r="Z317" s="1"/>
      <c r="AA317" s="11"/>
      <c r="AB317" s="11"/>
      <c r="AC317" s="1"/>
      <c r="AD317" s="1"/>
      <c r="AE317" s="11"/>
      <c r="AF317" s="11"/>
      <c r="AG317" s="1"/>
      <c r="AH317" s="11"/>
      <c r="AI317" s="11"/>
      <c r="AJ317" s="1"/>
      <c r="AK317" s="1"/>
      <c r="AL317" s="11"/>
      <c r="AM317" s="11"/>
      <c r="AN317" s="1"/>
      <c r="AO317" s="1"/>
      <c r="AP317" s="1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H369"/>
  <sheetViews>
    <sheetView workbookViewId="0"/>
  </sheetViews>
  <sheetFormatPr defaultRowHeight="15" x14ac:dyDescent="0.25"/>
  <cols>
    <col min="1" max="1" style="5" width="13.576428571428572" customWidth="1" bestFit="1"/>
    <col min="2" max="2" style="5" width="52.14785714285715" customWidth="1" bestFit="1"/>
    <col min="3" max="3" style="6" width="18.433571428571426" customWidth="1" bestFit="1"/>
    <col min="4" max="4" style="6" width="4.719285714285714" customWidth="1" bestFit="1"/>
    <col min="5" max="5" style="5" width="34.86214285714286" customWidth="1" bestFit="1"/>
    <col min="6" max="6" style="5" width="50.005" customWidth="1" bestFit="1"/>
    <col min="7" max="7" style="5" width="13.576428571428572" customWidth="1" bestFit="1"/>
    <col min="8" max="8" style="5" width="13.576428571428572" customWidth="1" bestFit="1"/>
  </cols>
  <sheetData>
    <row x14ac:dyDescent="0.25" r="1" customHeight="1" ht="18.75">
      <c r="A1" s="1"/>
      <c r="B1" s="1"/>
      <c r="C1" s="2"/>
      <c r="D1" s="2"/>
      <c r="E1" s="1"/>
      <c r="F1" s="1"/>
      <c r="G1" s="1"/>
      <c r="H1" s="1"/>
    </row>
    <row x14ac:dyDescent="0.25" r="2" customHeight="1" ht="18.75">
      <c r="A2" s="1"/>
      <c r="B2" s="1"/>
      <c r="C2" s="2"/>
      <c r="D2" s="2"/>
      <c r="E2" s="1"/>
      <c r="F2" s="1"/>
      <c r="G2" s="1"/>
      <c r="H2" s="1"/>
    </row>
    <row x14ac:dyDescent="0.25" r="3" customHeight="1" ht="18.75">
      <c r="A3" s="1"/>
      <c r="B3" s="1" t="s">
        <v>0</v>
      </c>
      <c r="C3" s="2"/>
      <c r="D3" s="2"/>
      <c r="E3" s="1"/>
      <c r="F3" s="1"/>
      <c r="G3" s="1"/>
      <c r="H3" s="1"/>
    </row>
    <row x14ac:dyDescent="0.25" r="4" customHeight="1" ht="18.75">
      <c r="A4" s="1"/>
      <c r="B4" s="1"/>
      <c r="C4" s="2"/>
      <c r="D4" s="2"/>
      <c r="E4" s="1"/>
      <c r="F4" s="1"/>
      <c r="G4" s="1"/>
      <c r="H4" s="1"/>
    </row>
    <row x14ac:dyDescent="0.25" r="5" customHeight="1" ht="18.75">
      <c r="A5" s="1"/>
      <c r="B5" s="1" t="s">
        <v>1</v>
      </c>
      <c r="C5" s="2" t="s">
        <v>2</v>
      </c>
      <c r="D5" s="2" t="s">
        <v>3</v>
      </c>
      <c r="E5" s="1" t="s">
        <v>4</v>
      </c>
      <c r="F5" s="1" t="s">
        <v>5</v>
      </c>
      <c r="G5" s="1"/>
      <c r="H5" s="1"/>
    </row>
    <row x14ac:dyDescent="0.25" r="6" customHeight="1" ht="18.75">
      <c r="A6" s="1"/>
      <c r="B6" s="1" t="s">
        <v>6</v>
      </c>
      <c r="C6" s="2" t="s">
        <v>7</v>
      </c>
      <c r="D6" s="3">
        <v>0.12</v>
      </c>
      <c r="E6" s="1" t="s">
        <v>8</v>
      </c>
      <c r="F6" s="1" t="s">
        <v>9</v>
      </c>
      <c r="G6" s="1"/>
      <c r="H6" s="4"/>
    </row>
    <row x14ac:dyDescent="0.25" r="7" customHeight="1" ht="18.75">
      <c r="A7" s="1"/>
      <c r="B7" s="1" t="s">
        <v>10</v>
      </c>
      <c r="C7" s="2" t="s">
        <v>7</v>
      </c>
      <c r="D7" s="3">
        <v>0.12</v>
      </c>
      <c r="E7" s="1" t="s">
        <v>8</v>
      </c>
      <c r="F7" s="1" t="s">
        <v>9</v>
      </c>
      <c r="G7" s="1"/>
      <c r="H7" s="4"/>
    </row>
    <row x14ac:dyDescent="0.25" r="8" customHeight="1" ht="18.75">
      <c r="A8" s="1"/>
      <c r="B8" s="1" t="s">
        <v>11</v>
      </c>
      <c r="C8" s="2" t="s">
        <v>7</v>
      </c>
      <c r="D8" s="3">
        <v>0.12</v>
      </c>
      <c r="E8" s="1" t="s">
        <v>8</v>
      </c>
      <c r="F8" s="1" t="s">
        <v>9</v>
      </c>
      <c r="G8" s="1"/>
      <c r="H8" s="4"/>
    </row>
    <row x14ac:dyDescent="0.25" r="9" customHeight="1" ht="18.75">
      <c r="A9" s="1"/>
      <c r="B9" s="1" t="s">
        <v>12</v>
      </c>
      <c r="C9" s="2" t="s">
        <v>7</v>
      </c>
      <c r="D9" s="3">
        <v>0.12</v>
      </c>
      <c r="E9" s="1" t="s">
        <v>13</v>
      </c>
      <c r="F9" s="1" t="s">
        <v>9</v>
      </c>
      <c r="G9" s="1"/>
      <c r="H9" s="4"/>
    </row>
    <row x14ac:dyDescent="0.25" r="10" customHeight="1" ht="18.75">
      <c r="A10" s="1"/>
      <c r="B10" s="1" t="s">
        <v>14</v>
      </c>
      <c r="C10" s="2" t="s">
        <v>7</v>
      </c>
      <c r="D10" s="3">
        <v>0.12</v>
      </c>
      <c r="E10" s="1" t="s">
        <v>13</v>
      </c>
      <c r="F10" s="1" t="s">
        <v>9</v>
      </c>
      <c r="G10" s="1"/>
      <c r="H10" s="4"/>
    </row>
    <row x14ac:dyDescent="0.25" r="11" customHeight="1" ht="18.75">
      <c r="A11" s="1"/>
      <c r="B11" s="1" t="s">
        <v>15</v>
      </c>
      <c r="C11" s="2" t="s">
        <v>7</v>
      </c>
      <c r="D11" s="3">
        <v>0.12</v>
      </c>
      <c r="E11" s="1" t="s">
        <v>13</v>
      </c>
      <c r="F11" s="1" t="s">
        <v>9</v>
      </c>
      <c r="G11" s="1"/>
      <c r="H11" s="4"/>
    </row>
    <row x14ac:dyDescent="0.25" r="12" customHeight="1" ht="18.75">
      <c r="A12" s="1"/>
      <c r="B12" s="1" t="s">
        <v>16</v>
      </c>
      <c r="C12" s="2" t="s">
        <v>7</v>
      </c>
      <c r="D12" s="3">
        <v>0.12</v>
      </c>
      <c r="E12" s="1" t="s">
        <v>13</v>
      </c>
      <c r="F12" s="1" t="s">
        <v>9</v>
      </c>
      <c r="G12" s="1"/>
      <c r="H12" s="4"/>
    </row>
    <row x14ac:dyDescent="0.25" r="13" customHeight="1" ht="18.75">
      <c r="A13" s="1"/>
      <c r="B13" s="1" t="s">
        <v>17</v>
      </c>
      <c r="C13" s="2" t="s">
        <v>7</v>
      </c>
      <c r="D13" s="3">
        <v>0.12</v>
      </c>
      <c r="E13" s="1" t="s">
        <v>13</v>
      </c>
      <c r="F13" s="1" t="s">
        <v>9</v>
      </c>
      <c r="G13" s="1"/>
      <c r="H13" s="4"/>
    </row>
    <row x14ac:dyDescent="0.25" r="14" customHeight="1" ht="18.75">
      <c r="A14" s="1"/>
      <c r="B14" s="1" t="s">
        <v>18</v>
      </c>
      <c r="C14" s="2" t="s">
        <v>7</v>
      </c>
      <c r="D14" s="3">
        <v>0.12</v>
      </c>
      <c r="E14" s="1" t="s">
        <v>13</v>
      </c>
      <c r="F14" s="1" t="s">
        <v>9</v>
      </c>
      <c r="G14" s="1"/>
      <c r="H14" s="4"/>
    </row>
    <row x14ac:dyDescent="0.25" r="15" customHeight="1" ht="18.75">
      <c r="A15" s="1"/>
      <c r="B15" s="1" t="s">
        <v>19</v>
      </c>
      <c r="C15" s="2" t="s">
        <v>7</v>
      </c>
      <c r="D15" s="3">
        <v>0.12</v>
      </c>
      <c r="E15" s="1" t="s">
        <v>13</v>
      </c>
      <c r="F15" s="1" t="s">
        <v>9</v>
      </c>
      <c r="G15" s="1"/>
      <c r="H15" s="4"/>
    </row>
    <row x14ac:dyDescent="0.25" r="16" customHeight="1" ht="18.75">
      <c r="A16" s="1"/>
      <c r="B16" s="1" t="s">
        <v>20</v>
      </c>
      <c r="C16" s="2" t="s">
        <v>7</v>
      </c>
      <c r="D16" s="3">
        <v>0.12</v>
      </c>
      <c r="E16" s="1" t="s">
        <v>13</v>
      </c>
      <c r="F16" s="1" t="s">
        <v>9</v>
      </c>
      <c r="G16" s="1"/>
      <c r="H16" s="4"/>
    </row>
    <row x14ac:dyDescent="0.25" r="17" customHeight="1" ht="18.75">
      <c r="A17" s="1"/>
      <c r="B17" s="1" t="s">
        <v>21</v>
      </c>
      <c r="C17" s="2" t="s">
        <v>7</v>
      </c>
      <c r="D17" s="3">
        <v>0.12</v>
      </c>
      <c r="E17" s="1" t="s">
        <v>13</v>
      </c>
      <c r="F17" s="1" t="s">
        <v>9</v>
      </c>
      <c r="G17" s="1"/>
      <c r="H17" s="4"/>
    </row>
    <row x14ac:dyDescent="0.25" r="18" customHeight="1" ht="18.75">
      <c r="A18" s="1"/>
      <c r="B18" s="1" t="s">
        <v>22</v>
      </c>
      <c r="C18" s="2" t="s">
        <v>7</v>
      </c>
      <c r="D18" s="3">
        <v>0.12</v>
      </c>
      <c r="E18" s="1" t="s">
        <v>13</v>
      </c>
      <c r="F18" s="1" t="s">
        <v>9</v>
      </c>
      <c r="G18" s="1"/>
      <c r="H18" s="4"/>
    </row>
    <row x14ac:dyDescent="0.25" r="19" customHeight="1" ht="18.75">
      <c r="A19" s="1"/>
      <c r="B19" s="1" t="s">
        <v>23</v>
      </c>
      <c r="C19" s="2" t="s">
        <v>7</v>
      </c>
      <c r="D19" s="3">
        <v>0.12</v>
      </c>
      <c r="E19" s="1" t="s">
        <v>13</v>
      </c>
      <c r="F19" s="1" t="s">
        <v>9</v>
      </c>
      <c r="G19" s="1"/>
      <c r="H19" s="4"/>
    </row>
    <row x14ac:dyDescent="0.25" r="20" customHeight="1" ht="18.75">
      <c r="A20" s="1"/>
      <c r="B20" s="1" t="s">
        <v>24</v>
      </c>
      <c r="C20" s="2" t="s">
        <v>7</v>
      </c>
      <c r="D20" s="3">
        <v>0.12</v>
      </c>
      <c r="E20" s="1" t="s">
        <v>25</v>
      </c>
      <c r="F20" s="1" t="s">
        <v>9</v>
      </c>
      <c r="G20" s="1"/>
      <c r="H20" s="4"/>
    </row>
    <row x14ac:dyDescent="0.25" r="21" customHeight="1" ht="18.75">
      <c r="A21" s="1"/>
      <c r="B21" s="1" t="s">
        <v>26</v>
      </c>
      <c r="C21" s="2" t="s">
        <v>7</v>
      </c>
      <c r="D21" s="3">
        <v>0.12</v>
      </c>
      <c r="E21" s="1" t="s">
        <v>25</v>
      </c>
      <c r="F21" s="1" t="s">
        <v>9</v>
      </c>
      <c r="G21" s="1"/>
      <c r="H21" s="4"/>
    </row>
    <row x14ac:dyDescent="0.25" r="22" customHeight="1" ht="18.75">
      <c r="A22" s="1"/>
      <c r="B22" s="1" t="s">
        <v>27</v>
      </c>
      <c r="C22" s="2" t="s">
        <v>7</v>
      </c>
      <c r="D22" s="3">
        <v>0.12</v>
      </c>
      <c r="E22" s="1" t="s">
        <v>25</v>
      </c>
      <c r="F22" s="1" t="s">
        <v>9</v>
      </c>
      <c r="G22" s="1"/>
      <c r="H22" s="4"/>
    </row>
    <row x14ac:dyDescent="0.25" r="23" customHeight="1" ht="18.75">
      <c r="A23" s="1"/>
      <c r="B23" s="1" t="s">
        <v>28</v>
      </c>
      <c r="C23" s="2" t="s">
        <v>7</v>
      </c>
      <c r="D23" s="3">
        <v>0.12</v>
      </c>
      <c r="E23" s="1" t="s">
        <v>25</v>
      </c>
      <c r="F23" s="1" t="s">
        <v>9</v>
      </c>
      <c r="G23" s="1"/>
      <c r="H23" s="4"/>
    </row>
    <row x14ac:dyDescent="0.25" r="24" customHeight="1" ht="18.75">
      <c r="A24" s="1"/>
      <c r="B24" s="1" t="s">
        <v>29</v>
      </c>
      <c r="C24" s="2" t="s">
        <v>7</v>
      </c>
      <c r="D24" s="3">
        <v>0.12</v>
      </c>
      <c r="E24" s="1" t="s">
        <v>25</v>
      </c>
      <c r="F24" s="1" t="s">
        <v>9</v>
      </c>
      <c r="G24" s="1"/>
      <c r="H24" s="4"/>
    </row>
    <row x14ac:dyDescent="0.25" r="25" customHeight="1" ht="18.75">
      <c r="A25" s="1"/>
      <c r="B25" s="1" t="s">
        <v>30</v>
      </c>
      <c r="C25" s="2" t="s">
        <v>7</v>
      </c>
      <c r="D25" s="3">
        <v>0.12</v>
      </c>
      <c r="E25" s="1" t="s">
        <v>31</v>
      </c>
      <c r="F25" s="1" t="s">
        <v>9</v>
      </c>
      <c r="G25" s="1"/>
      <c r="H25" s="4"/>
    </row>
    <row x14ac:dyDescent="0.25" r="26" customHeight="1" ht="18.75">
      <c r="A26" s="1"/>
      <c r="B26" s="1" t="s">
        <v>32</v>
      </c>
      <c r="C26" s="2" t="s">
        <v>7</v>
      </c>
      <c r="D26" s="3">
        <v>0.1</v>
      </c>
      <c r="E26" s="1" t="s">
        <v>33</v>
      </c>
      <c r="F26" s="1" t="s">
        <v>9</v>
      </c>
      <c r="G26" s="1"/>
      <c r="H26" s="4"/>
    </row>
    <row x14ac:dyDescent="0.25" r="27" customHeight="1" ht="18.75">
      <c r="A27" s="1"/>
      <c r="B27" s="1" t="s">
        <v>34</v>
      </c>
      <c r="C27" s="2" t="s">
        <v>7</v>
      </c>
      <c r="D27" s="3">
        <v>0.1</v>
      </c>
      <c r="E27" s="1" t="s">
        <v>33</v>
      </c>
      <c r="F27" s="1" t="s">
        <v>9</v>
      </c>
      <c r="G27" s="1"/>
      <c r="H27" s="4"/>
    </row>
    <row x14ac:dyDescent="0.25" r="28" customHeight="1" ht="18.75">
      <c r="A28" s="1"/>
      <c r="B28" s="1" t="s">
        <v>35</v>
      </c>
      <c r="C28" s="2" t="s">
        <v>7</v>
      </c>
      <c r="D28" s="3">
        <v>0.1</v>
      </c>
      <c r="E28" s="1" t="s">
        <v>33</v>
      </c>
      <c r="F28" s="1" t="s">
        <v>9</v>
      </c>
      <c r="G28" s="1"/>
      <c r="H28" s="4"/>
    </row>
    <row x14ac:dyDescent="0.25" r="29" customHeight="1" ht="18.75">
      <c r="A29" s="1"/>
      <c r="B29" s="1" t="s">
        <v>36</v>
      </c>
      <c r="C29" s="2" t="s">
        <v>7</v>
      </c>
      <c r="D29" s="3">
        <v>0.1</v>
      </c>
      <c r="E29" s="1" t="s">
        <v>33</v>
      </c>
      <c r="F29" s="1" t="s">
        <v>9</v>
      </c>
      <c r="G29" s="1"/>
      <c r="H29" s="4"/>
    </row>
    <row x14ac:dyDescent="0.25" r="30" customHeight="1" ht="18.75">
      <c r="A30" s="1"/>
      <c r="B30" s="1" t="s">
        <v>37</v>
      </c>
      <c r="C30" s="2" t="s">
        <v>7</v>
      </c>
      <c r="D30" s="3">
        <v>0.1</v>
      </c>
      <c r="E30" s="1" t="s">
        <v>33</v>
      </c>
      <c r="F30" s="1" t="s">
        <v>9</v>
      </c>
      <c r="G30" s="1"/>
      <c r="H30" s="4"/>
    </row>
    <row x14ac:dyDescent="0.25" r="31" customHeight="1" ht="18.75">
      <c r="A31" s="1"/>
      <c r="B31" s="1" t="s">
        <v>38</v>
      </c>
      <c r="C31" s="2" t="s">
        <v>7</v>
      </c>
      <c r="D31" s="3">
        <v>0.1</v>
      </c>
      <c r="E31" s="1" t="s">
        <v>33</v>
      </c>
      <c r="F31" s="1" t="s">
        <v>9</v>
      </c>
      <c r="G31" s="1"/>
      <c r="H31" s="4"/>
    </row>
    <row x14ac:dyDescent="0.25" r="32" customHeight="1" ht="18.75">
      <c r="A32" s="1"/>
      <c r="B32" s="1" t="s">
        <v>39</v>
      </c>
      <c r="C32" s="2" t="s">
        <v>7</v>
      </c>
      <c r="D32" s="3">
        <v>0.1</v>
      </c>
      <c r="E32" s="1" t="s">
        <v>40</v>
      </c>
      <c r="F32" s="1" t="s">
        <v>9</v>
      </c>
      <c r="G32" s="1"/>
      <c r="H32" s="4"/>
    </row>
    <row x14ac:dyDescent="0.25" r="33" customHeight="1" ht="18.75">
      <c r="A33" s="1"/>
      <c r="B33" s="1" t="s">
        <v>41</v>
      </c>
      <c r="C33" s="2" t="s">
        <v>7</v>
      </c>
      <c r="D33" s="3">
        <v>0.1</v>
      </c>
      <c r="E33" s="1" t="s">
        <v>40</v>
      </c>
      <c r="F33" s="1" t="s">
        <v>9</v>
      </c>
      <c r="G33" s="1"/>
      <c r="H33" s="4"/>
    </row>
    <row x14ac:dyDescent="0.25" r="34" customHeight="1" ht="18.75">
      <c r="A34" s="1"/>
      <c r="B34" s="1" t="s">
        <v>42</v>
      </c>
      <c r="C34" s="2" t="s">
        <v>7</v>
      </c>
      <c r="D34" s="3">
        <v>0.1</v>
      </c>
      <c r="E34" s="1" t="s">
        <v>40</v>
      </c>
      <c r="F34" s="1" t="s">
        <v>9</v>
      </c>
      <c r="G34" s="1"/>
      <c r="H34" s="4"/>
    </row>
    <row x14ac:dyDescent="0.25" r="35" customHeight="1" ht="18.75">
      <c r="A35" s="1"/>
      <c r="B35" s="1" t="s">
        <v>43</v>
      </c>
      <c r="C35" s="2" t="s">
        <v>7</v>
      </c>
      <c r="D35" s="3">
        <v>0.04</v>
      </c>
      <c r="E35" s="1" t="s">
        <v>44</v>
      </c>
      <c r="F35" s="1" t="s">
        <v>9</v>
      </c>
      <c r="G35" s="1"/>
      <c r="H35" s="4"/>
    </row>
    <row x14ac:dyDescent="0.25" r="36" customHeight="1" ht="18.75">
      <c r="A36" s="1"/>
      <c r="B36" s="1" t="s">
        <v>45</v>
      </c>
      <c r="C36" s="2" t="s">
        <v>7</v>
      </c>
      <c r="D36" s="3">
        <v>0.04</v>
      </c>
      <c r="E36" s="1" t="s">
        <v>46</v>
      </c>
      <c r="F36" s="1" t="s">
        <v>9</v>
      </c>
      <c r="G36" s="1"/>
      <c r="H36" s="4"/>
    </row>
    <row x14ac:dyDescent="0.25" r="37" customHeight="1" ht="18.75">
      <c r="A37" s="1"/>
      <c r="B37" s="1" t="s">
        <v>47</v>
      </c>
      <c r="C37" s="2" t="s">
        <v>7</v>
      </c>
      <c r="D37" s="3">
        <v>0.04</v>
      </c>
      <c r="E37" s="1" t="s">
        <v>46</v>
      </c>
      <c r="F37" s="1" t="s">
        <v>9</v>
      </c>
      <c r="G37" s="1"/>
      <c r="H37" s="4"/>
    </row>
    <row x14ac:dyDescent="0.25" r="38" customHeight="1" ht="18.75">
      <c r="A38" s="1"/>
      <c r="B38" s="1" t="s">
        <v>48</v>
      </c>
      <c r="C38" s="2" t="s">
        <v>7</v>
      </c>
      <c r="D38" s="3">
        <v>0.04</v>
      </c>
      <c r="E38" s="1" t="s">
        <v>49</v>
      </c>
      <c r="F38" s="1" t="s">
        <v>9</v>
      </c>
      <c r="G38" s="1"/>
      <c r="H38" s="4"/>
    </row>
    <row x14ac:dyDescent="0.25" r="39" customHeight="1" ht="18.75">
      <c r="A39" s="1"/>
      <c r="B39" s="1" t="s">
        <v>50</v>
      </c>
      <c r="C39" s="2" t="s">
        <v>7</v>
      </c>
      <c r="D39" s="3">
        <v>0.1</v>
      </c>
      <c r="E39" s="1" t="s">
        <v>51</v>
      </c>
      <c r="F39" s="1" t="s">
        <v>9</v>
      </c>
      <c r="G39" s="1"/>
      <c r="H39" s="4"/>
    </row>
    <row x14ac:dyDescent="0.25" r="40" customHeight="1" ht="18.75">
      <c r="A40" s="1"/>
      <c r="B40" s="1" t="s">
        <v>52</v>
      </c>
      <c r="C40" s="2" t="s">
        <v>7</v>
      </c>
      <c r="D40" s="3">
        <v>0.1</v>
      </c>
      <c r="E40" s="1" t="s">
        <v>53</v>
      </c>
      <c r="F40" s="1" t="s">
        <v>9</v>
      </c>
      <c r="G40" s="1"/>
      <c r="H40" s="4"/>
    </row>
    <row x14ac:dyDescent="0.25" r="41" customHeight="1" ht="18.75">
      <c r="A41" s="1"/>
      <c r="B41" s="1" t="s">
        <v>54</v>
      </c>
      <c r="C41" s="2" t="s">
        <v>7</v>
      </c>
      <c r="D41" s="3">
        <v>0.12</v>
      </c>
      <c r="E41" s="1" t="s">
        <v>55</v>
      </c>
      <c r="F41" s="1" t="s">
        <v>9</v>
      </c>
      <c r="G41" s="1"/>
      <c r="H41" s="4"/>
    </row>
    <row x14ac:dyDescent="0.25" r="42" customHeight="1" ht="18.75">
      <c r="A42" s="1"/>
      <c r="B42" s="1" t="s">
        <v>56</v>
      </c>
      <c r="C42" s="2" t="s">
        <v>7</v>
      </c>
      <c r="D42" s="3">
        <v>0.12</v>
      </c>
      <c r="E42" s="1" t="s">
        <v>55</v>
      </c>
      <c r="F42" s="1" t="s">
        <v>9</v>
      </c>
      <c r="G42" s="1"/>
      <c r="H42" s="4"/>
    </row>
    <row x14ac:dyDescent="0.25" r="43" customHeight="1" ht="18.75">
      <c r="A43" s="1"/>
      <c r="B43" s="1" t="s">
        <v>57</v>
      </c>
      <c r="C43" s="2" t="s">
        <v>58</v>
      </c>
      <c r="D43" s="3">
        <v>0</v>
      </c>
      <c r="E43" s="1" t="s">
        <v>59</v>
      </c>
      <c r="F43" s="1" t="s">
        <v>60</v>
      </c>
      <c r="G43" s="1"/>
      <c r="H43" s="4"/>
    </row>
    <row x14ac:dyDescent="0.25" r="44" customHeight="1" ht="18.75">
      <c r="A44" s="1"/>
      <c r="B44" s="1" t="s">
        <v>61</v>
      </c>
      <c r="C44" s="2" t="s">
        <v>58</v>
      </c>
      <c r="D44" s="3">
        <v>0</v>
      </c>
      <c r="E44" s="1" t="s">
        <v>59</v>
      </c>
      <c r="F44" s="1" t="s">
        <v>60</v>
      </c>
      <c r="G44" s="1"/>
      <c r="H44" s="4"/>
    </row>
    <row x14ac:dyDescent="0.25" r="45" customHeight="1" ht="18.75">
      <c r="A45" s="1"/>
      <c r="B45" s="1" t="s">
        <v>62</v>
      </c>
      <c r="C45" s="2" t="s">
        <v>58</v>
      </c>
      <c r="D45" s="3">
        <v>0</v>
      </c>
      <c r="E45" s="1" t="s">
        <v>59</v>
      </c>
      <c r="F45" s="1" t="s">
        <v>60</v>
      </c>
      <c r="G45" s="1"/>
      <c r="H45" s="4"/>
    </row>
    <row x14ac:dyDescent="0.25" r="46" customHeight="1" ht="18.75">
      <c r="A46" s="1"/>
      <c r="B46" s="1" t="s">
        <v>63</v>
      </c>
      <c r="C46" s="2" t="s">
        <v>58</v>
      </c>
      <c r="D46" s="3">
        <v>0</v>
      </c>
      <c r="E46" s="1" t="s">
        <v>59</v>
      </c>
      <c r="F46" s="1" t="s">
        <v>60</v>
      </c>
      <c r="G46" s="1"/>
      <c r="H46" s="4"/>
    </row>
    <row x14ac:dyDescent="0.25" r="47" customHeight="1" ht="18.75">
      <c r="A47" s="1"/>
      <c r="B47" s="1" t="s">
        <v>64</v>
      </c>
      <c r="C47" s="2" t="s">
        <v>58</v>
      </c>
      <c r="D47" s="3">
        <v>0</v>
      </c>
      <c r="E47" s="1" t="s">
        <v>59</v>
      </c>
      <c r="F47" s="1" t="s">
        <v>60</v>
      </c>
      <c r="G47" s="1"/>
      <c r="H47" s="4"/>
    </row>
    <row x14ac:dyDescent="0.25" r="48" customHeight="1" ht="18.75">
      <c r="A48" s="1"/>
      <c r="B48" s="1" t="s">
        <v>65</v>
      </c>
      <c r="C48" s="2" t="s">
        <v>58</v>
      </c>
      <c r="D48" s="3">
        <v>0</v>
      </c>
      <c r="E48" s="1" t="s">
        <v>59</v>
      </c>
      <c r="F48" s="1" t="s">
        <v>60</v>
      </c>
      <c r="G48" s="1"/>
      <c r="H48" s="4"/>
    </row>
    <row x14ac:dyDescent="0.25" r="49" customHeight="1" ht="18.75">
      <c r="A49" s="1"/>
      <c r="B49" s="1" t="s">
        <v>66</v>
      </c>
      <c r="C49" s="2" t="s">
        <v>58</v>
      </c>
      <c r="D49" s="3">
        <v>0</v>
      </c>
      <c r="E49" s="1" t="s">
        <v>59</v>
      </c>
      <c r="F49" s="1" t="s">
        <v>60</v>
      </c>
      <c r="G49" s="1"/>
      <c r="H49" s="4"/>
    </row>
    <row x14ac:dyDescent="0.25" r="50" customHeight="1" ht="18.75">
      <c r="A50" s="1"/>
      <c r="B50" s="1" t="s">
        <v>67</v>
      </c>
      <c r="C50" s="2" t="s">
        <v>58</v>
      </c>
      <c r="D50" s="3">
        <v>0</v>
      </c>
      <c r="E50" s="1" t="s">
        <v>59</v>
      </c>
      <c r="F50" s="1" t="s">
        <v>60</v>
      </c>
      <c r="G50" s="1"/>
      <c r="H50" s="4"/>
    </row>
    <row x14ac:dyDescent="0.25" r="51" customHeight="1" ht="18.75">
      <c r="A51" s="1"/>
      <c r="B51" s="1" t="s">
        <v>68</v>
      </c>
      <c r="C51" s="2" t="s">
        <v>58</v>
      </c>
      <c r="D51" s="3">
        <v>0</v>
      </c>
      <c r="E51" s="1" t="s">
        <v>59</v>
      </c>
      <c r="F51" s="1" t="s">
        <v>60</v>
      </c>
      <c r="G51" s="1"/>
      <c r="H51" s="4"/>
    </row>
    <row x14ac:dyDescent="0.25" r="52" customHeight="1" ht="18.75">
      <c r="A52" s="1"/>
      <c r="B52" s="1" t="s">
        <v>69</v>
      </c>
      <c r="C52" s="2" t="s">
        <v>58</v>
      </c>
      <c r="D52" s="3">
        <v>0</v>
      </c>
      <c r="E52" s="1" t="s">
        <v>59</v>
      </c>
      <c r="F52" s="1" t="s">
        <v>60</v>
      </c>
      <c r="G52" s="1"/>
      <c r="H52" s="4"/>
    </row>
    <row x14ac:dyDescent="0.25" r="53" customHeight="1" ht="18.75">
      <c r="A53" s="1"/>
      <c r="B53" s="1" t="s">
        <v>70</v>
      </c>
      <c r="C53" s="2" t="s">
        <v>58</v>
      </c>
      <c r="D53" s="3">
        <v>0</v>
      </c>
      <c r="E53" s="1" t="s">
        <v>59</v>
      </c>
      <c r="F53" s="1" t="s">
        <v>60</v>
      </c>
      <c r="G53" s="1"/>
      <c r="H53" s="4"/>
    </row>
    <row x14ac:dyDescent="0.25" r="54" customHeight="1" ht="18.75">
      <c r="A54" s="1"/>
      <c r="B54" s="1" t="s">
        <v>71</v>
      </c>
      <c r="C54" s="2" t="s">
        <v>58</v>
      </c>
      <c r="D54" s="3">
        <v>0</v>
      </c>
      <c r="E54" s="1" t="s">
        <v>59</v>
      </c>
      <c r="F54" s="1" t="s">
        <v>60</v>
      </c>
      <c r="G54" s="1"/>
      <c r="H54" s="4"/>
    </row>
    <row x14ac:dyDescent="0.25" r="55" customHeight="1" ht="18.75">
      <c r="A55" s="1"/>
      <c r="B55" s="1" t="s">
        <v>72</v>
      </c>
      <c r="C55" s="2" t="s">
        <v>58</v>
      </c>
      <c r="D55" s="3">
        <v>0</v>
      </c>
      <c r="E55" s="1" t="s">
        <v>59</v>
      </c>
      <c r="F55" s="1" t="s">
        <v>60</v>
      </c>
      <c r="G55" s="1"/>
      <c r="H55" s="4"/>
    </row>
    <row x14ac:dyDescent="0.25" r="56" customHeight="1" ht="18.75">
      <c r="A56" s="1"/>
      <c r="B56" s="1" t="s">
        <v>73</v>
      </c>
      <c r="C56" s="2" t="s">
        <v>58</v>
      </c>
      <c r="D56" s="3">
        <v>0</v>
      </c>
      <c r="E56" s="1" t="s">
        <v>59</v>
      </c>
      <c r="F56" s="1" t="s">
        <v>60</v>
      </c>
      <c r="G56" s="1"/>
      <c r="H56" s="4"/>
    </row>
    <row x14ac:dyDescent="0.25" r="57" customHeight="1" ht="18.75">
      <c r="A57" s="1"/>
      <c r="B57" s="1" t="s">
        <v>74</v>
      </c>
      <c r="C57" s="2" t="s">
        <v>58</v>
      </c>
      <c r="D57" s="3">
        <v>0</v>
      </c>
      <c r="E57" s="1" t="s">
        <v>59</v>
      </c>
      <c r="F57" s="1" t="s">
        <v>60</v>
      </c>
      <c r="G57" s="1"/>
      <c r="H57" s="4"/>
    </row>
    <row x14ac:dyDescent="0.25" r="58" customHeight="1" ht="18.75">
      <c r="A58" s="1"/>
      <c r="B58" s="1" t="s">
        <v>75</v>
      </c>
      <c r="C58" s="2" t="s">
        <v>58</v>
      </c>
      <c r="D58" s="3">
        <v>0</v>
      </c>
      <c r="E58" s="1" t="s">
        <v>59</v>
      </c>
      <c r="F58" s="1" t="s">
        <v>60</v>
      </c>
      <c r="G58" s="1"/>
      <c r="H58" s="4"/>
    </row>
    <row x14ac:dyDescent="0.25" r="59" customHeight="1" ht="18.75">
      <c r="A59" s="1"/>
      <c r="B59" s="1" t="s">
        <v>76</v>
      </c>
      <c r="C59" s="2" t="s">
        <v>58</v>
      </c>
      <c r="D59" s="3">
        <v>0</v>
      </c>
      <c r="E59" s="1" t="s">
        <v>59</v>
      </c>
      <c r="F59" s="1" t="s">
        <v>60</v>
      </c>
      <c r="G59" s="1"/>
      <c r="H59" s="4"/>
    </row>
    <row x14ac:dyDescent="0.25" r="60" customHeight="1" ht="18.75">
      <c r="A60" s="1"/>
      <c r="B60" s="1" t="s">
        <v>77</v>
      </c>
      <c r="C60" s="2" t="s">
        <v>58</v>
      </c>
      <c r="D60" s="3">
        <v>0</v>
      </c>
      <c r="E60" s="1" t="s">
        <v>78</v>
      </c>
      <c r="F60" s="1" t="s">
        <v>60</v>
      </c>
      <c r="G60" s="1"/>
      <c r="H60" s="4"/>
    </row>
    <row x14ac:dyDescent="0.25" r="61" customHeight="1" ht="18.75">
      <c r="A61" s="1"/>
      <c r="B61" s="1" t="s">
        <v>79</v>
      </c>
      <c r="C61" s="2" t="s">
        <v>58</v>
      </c>
      <c r="D61" s="3">
        <v>0</v>
      </c>
      <c r="E61" s="1" t="s">
        <v>80</v>
      </c>
      <c r="F61" s="1" t="s">
        <v>60</v>
      </c>
      <c r="G61" s="1"/>
      <c r="H61" s="4"/>
    </row>
    <row x14ac:dyDescent="0.25" r="62" customHeight="1" ht="18.75">
      <c r="A62" s="1"/>
      <c r="B62" s="1" t="s">
        <v>81</v>
      </c>
      <c r="C62" s="2" t="s">
        <v>58</v>
      </c>
      <c r="D62" s="3">
        <v>0</v>
      </c>
      <c r="E62" s="1" t="s">
        <v>80</v>
      </c>
      <c r="F62" s="1" t="s">
        <v>60</v>
      </c>
      <c r="G62" s="1"/>
      <c r="H62" s="4"/>
    </row>
    <row x14ac:dyDescent="0.25" r="63" customHeight="1" ht="18.75">
      <c r="A63" s="1"/>
      <c r="B63" s="1" t="s">
        <v>82</v>
      </c>
      <c r="C63" s="2" t="s">
        <v>58</v>
      </c>
      <c r="D63" s="3">
        <v>0</v>
      </c>
      <c r="E63" s="1" t="s">
        <v>80</v>
      </c>
      <c r="F63" s="1" t="s">
        <v>60</v>
      </c>
      <c r="G63" s="1"/>
      <c r="H63" s="4"/>
    </row>
    <row x14ac:dyDescent="0.25" r="64" customHeight="1" ht="18.75">
      <c r="A64" s="1"/>
      <c r="B64" s="1" t="s">
        <v>83</v>
      </c>
      <c r="C64" s="2" t="s">
        <v>58</v>
      </c>
      <c r="D64" s="3">
        <v>0</v>
      </c>
      <c r="E64" s="1" t="s">
        <v>84</v>
      </c>
      <c r="F64" s="1" t="s">
        <v>60</v>
      </c>
      <c r="G64" s="1"/>
      <c r="H64" s="4"/>
    </row>
    <row x14ac:dyDescent="0.25" r="65" customHeight="1" ht="18.75">
      <c r="A65" s="1"/>
      <c r="B65" s="1"/>
      <c r="C65" s="2"/>
      <c r="D65" s="2"/>
      <c r="E65" s="1"/>
      <c r="F65" s="1"/>
      <c r="G65" s="1"/>
      <c r="H65" s="4"/>
    </row>
    <row x14ac:dyDescent="0.25" r="66" customHeight="1" ht="18.75">
      <c r="A66" s="1"/>
      <c r="B66" s="1"/>
      <c r="C66" s="2"/>
      <c r="D66" s="2"/>
      <c r="E66" s="1"/>
      <c r="F66" s="1"/>
      <c r="G66" s="1"/>
      <c r="H66" s="4"/>
    </row>
    <row x14ac:dyDescent="0.25" r="67" customHeight="1" ht="18.75">
      <c r="A67" s="1"/>
      <c r="B67" s="1" t="s">
        <v>85</v>
      </c>
      <c r="C67" s="2"/>
      <c r="D67" s="2"/>
      <c r="E67" s="1"/>
      <c r="F67" s="1"/>
      <c r="G67" s="1"/>
      <c r="H67" s="4"/>
    </row>
    <row x14ac:dyDescent="0.25" r="68" customHeight="1" ht="18.75">
      <c r="A68" s="1"/>
      <c r="B68" s="1"/>
      <c r="C68" s="2"/>
      <c r="D68" s="2"/>
      <c r="E68" s="1"/>
      <c r="F68" s="1"/>
      <c r="G68" s="1"/>
      <c r="H68" s="4"/>
    </row>
    <row x14ac:dyDescent="0.25" r="69" customHeight="1" ht="18.75">
      <c r="A69" s="1"/>
      <c r="B69" s="1" t="s">
        <v>86</v>
      </c>
      <c r="C69" s="2"/>
      <c r="D69" s="2"/>
      <c r="E69" s="1"/>
      <c r="F69" s="1"/>
      <c r="G69" s="1"/>
      <c r="H69" s="4"/>
    </row>
    <row x14ac:dyDescent="0.25" r="70" customHeight="1" ht="18.75">
      <c r="A70" s="1"/>
      <c r="B70" s="1"/>
      <c r="C70" s="2"/>
      <c r="D70" s="2"/>
      <c r="E70" s="1"/>
      <c r="F70" s="1"/>
      <c r="G70" s="1"/>
      <c r="H70" s="4"/>
    </row>
    <row x14ac:dyDescent="0.25" r="71" customHeight="1" ht="18.75">
      <c r="A71" s="1"/>
      <c r="B71" s="1" t="s">
        <v>87</v>
      </c>
      <c r="C71" s="2"/>
      <c r="D71" s="2"/>
      <c r="E71" s="1"/>
      <c r="F71" s="1"/>
      <c r="G71" s="1"/>
      <c r="H71" s="4"/>
    </row>
    <row x14ac:dyDescent="0.25" r="72" customHeight="1" ht="18.75">
      <c r="A72" s="1"/>
      <c r="B72" s="1" t="s">
        <v>88</v>
      </c>
      <c r="C72" s="2"/>
      <c r="D72" s="2"/>
      <c r="E72" s="1"/>
      <c r="F72" s="1"/>
      <c r="G72" s="1"/>
      <c r="H72" s="4"/>
    </row>
    <row x14ac:dyDescent="0.25" r="73" customHeight="1" ht="18.75">
      <c r="A73" s="1"/>
      <c r="B73" s="1" t="s">
        <v>89</v>
      </c>
      <c r="C73" s="2"/>
      <c r="D73" s="2"/>
      <c r="E73" s="1"/>
      <c r="F73" s="1"/>
      <c r="G73" s="1"/>
      <c r="H73" s="4"/>
    </row>
    <row x14ac:dyDescent="0.25" r="74" customHeight="1" ht="18.75">
      <c r="A74" s="1"/>
      <c r="B74" s="1" t="s">
        <v>90</v>
      </c>
      <c r="C74" s="2"/>
      <c r="D74" s="2"/>
      <c r="E74" s="1"/>
      <c r="F74" s="1"/>
      <c r="G74" s="1"/>
      <c r="H74" s="4"/>
    </row>
    <row x14ac:dyDescent="0.25" r="75" customHeight="1" ht="18.75">
      <c r="A75" s="1"/>
      <c r="B75" s="1" t="s">
        <v>91</v>
      </c>
      <c r="C75" s="2"/>
      <c r="D75" s="2"/>
      <c r="E75" s="1"/>
      <c r="F75" s="1"/>
      <c r="G75" s="1"/>
      <c r="H75" s="4"/>
    </row>
    <row x14ac:dyDescent="0.25" r="76" customHeight="1" ht="18.75">
      <c r="A76" s="1"/>
      <c r="B76" s="1" t="s">
        <v>18</v>
      </c>
      <c r="C76" s="2"/>
      <c r="D76" s="2"/>
      <c r="E76" s="1"/>
      <c r="F76" s="1"/>
      <c r="G76" s="1"/>
      <c r="H76" s="4"/>
    </row>
    <row x14ac:dyDescent="0.25" r="77" customHeight="1" ht="18.75">
      <c r="A77" s="1"/>
      <c r="B77" s="1" t="s">
        <v>92</v>
      </c>
      <c r="C77" s="2"/>
      <c r="D77" s="2"/>
      <c r="E77" s="1"/>
      <c r="F77" s="1"/>
      <c r="G77" s="1"/>
      <c r="H77" s="4"/>
    </row>
    <row x14ac:dyDescent="0.25" r="78" customHeight="1" ht="18.75">
      <c r="A78" s="1"/>
      <c r="B78" s="1" t="s">
        <v>93</v>
      </c>
      <c r="C78" s="2"/>
      <c r="D78" s="2"/>
      <c r="E78" s="1"/>
      <c r="F78" s="1"/>
      <c r="G78" s="1"/>
      <c r="H78" s="4"/>
    </row>
    <row x14ac:dyDescent="0.25" r="79" customHeight="1" ht="18.75">
      <c r="A79" s="1"/>
      <c r="B79" s="1" t="s">
        <v>94</v>
      </c>
      <c r="C79" s="2"/>
      <c r="D79" s="2"/>
      <c r="E79" s="1"/>
      <c r="F79" s="1"/>
      <c r="G79" s="1"/>
      <c r="H79" s="4"/>
    </row>
    <row x14ac:dyDescent="0.25" r="80" customHeight="1" ht="18.75">
      <c r="A80" s="1"/>
      <c r="B80" s="1" t="s">
        <v>95</v>
      </c>
      <c r="C80" s="2"/>
      <c r="D80" s="2"/>
      <c r="E80" s="1"/>
      <c r="F80" s="1"/>
      <c r="G80" s="1"/>
      <c r="H80" s="4"/>
    </row>
    <row x14ac:dyDescent="0.25" r="81" customHeight="1" ht="18.75">
      <c r="A81" s="1"/>
      <c r="B81" s="1" t="s">
        <v>96</v>
      </c>
      <c r="C81" s="2"/>
      <c r="D81" s="2"/>
      <c r="E81" s="1"/>
      <c r="F81" s="1"/>
      <c r="G81" s="1"/>
      <c r="H81" s="4"/>
    </row>
    <row x14ac:dyDescent="0.25" r="82" customHeight="1" ht="18.75">
      <c r="A82" s="1"/>
      <c r="B82" s="1" t="s">
        <v>55</v>
      </c>
      <c r="C82" s="2"/>
      <c r="D82" s="2"/>
      <c r="E82" s="1"/>
      <c r="F82" s="1"/>
      <c r="G82" s="1"/>
      <c r="H82" s="4"/>
    </row>
    <row x14ac:dyDescent="0.25" r="83" customHeight="1" ht="18.75">
      <c r="A83" s="1"/>
      <c r="B83" s="1"/>
      <c r="C83" s="2"/>
      <c r="D83" s="2"/>
      <c r="E83" s="1"/>
      <c r="F83" s="1"/>
      <c r="G83" s="1"/>
      <c r="H83" s="4"/>
    </row>
    <row x14ac:dyDescent="0.25" r="84" customHeight="1" ht="18.75">
      <c r="A84" s="1"/>
      <c r="B84" s="1" t="s">
        <v>97</v>
      </c>
      <c r="C84" s="2"/>
      <c r="D84" s="2"/>
      <c r="E84" s="1"/>
      <c r="F84" s="1"/>
      <c r="G84" s="1"/>
      <c r="H84" s="4"/>
    </row>
    <row x14ac:dyDescent="0.25" r="85" customHeight="1" ht="18.75">
      <c r="A85" s="1"/>
      <c r="B85" s="1"/>
      <c r="C85" s="2"/>
      <c r="D85" s="2"/>
      <c r="E85" s="1"/>
      <c r="F85" s="1"/>
      <c r="G85" s="1"/>
      <c r="H85" s="4"/>
    </row>
    <row x14ac:dyDescent="0.25" r="86" customHeight="1" ht="18.75">
      <c r="A86" s="1"/>
      <c r="B86" s="1" t="s">
        <v>98</v>
      </c>
      <c r="C86" s="2"/>
      <c r="D86" s="2"/>
      <c r="E86" s="1"/>
      <c r="F86" s="1"/>
      <c r="G86" s="1"/>
      <c r="H86" s="4"/>
    </row>
    <row x14ac:dyDescent="0.25" r="87" customHeight="1" ht="18.75">
      <c r="A87" s="1"/>
      <c r="B87" s="1" t="s">
        <v>99</v>
      </c>
      <c r="C87" s="2"/>
      <c r="D87" s="2"/>
      <c r="E87" s="1"/>
      <c r="F87" s="1"/>
      <c r="G87" s="1"/>
      <c r="H87" s="4"/>
    </row>
    <row x14ac:dyDescent="0.25" r="88" customHeight="1" ht="18.75">
      <c r="A88" s="1"/>
      <c r="B88" s="1" t="s">
        <v>40</v>
      </c>
      <c r="C88" s="2"/>
      <c r="D88" s="2"/>
      <c r="E88" s="1"/>
      <c r="F88" s="1"/>
      <c r="G88" s="1"/>
      <c r="H88" s="4"/>
    </row>
    <row x14ac:dyDescent="0.25" r="89" customHeight="1" ht="18.75">
      <c r="A89" s="1"/>
      <c r="B89" s="1" t="s">
        <v>100</v>
      </c>
      <c r="C89" s="2"/>
      <c r="D89" s="2"/>
      <c r="E89" s="1"/>
      <c r="F89" s="1"/>
      <c r="G89" s="1"/>
      <c r="H89" s="4"/>
    </row>
    <row x14ac:dyDescent="0.25" r="90" customHeight="1" ht="18.75">
      <c r="A90" s="1"/>
      <c r="B90" s="1" t="s">
        <v>101</v>
      </c>
      <c r="C90" s="2"/>
      <c r="D90" s="2"/>
      <c r="E90" s="1"/>
      <c r="F90" s="1"/>
      <c r="G90" s="1"/>
      <c r="H90" s="4"/>
    </row>
    <row x14ac:dyDescent="0.25" r="91" customHeight="1" ht="18.75">
      <c r="A91" s="1"/>
      <c r="B91" s="1"/>
      <c r="C91" s="2"/>
      <c r="D91" s="2"/>
      <c r="E91" s="1"/>
      <c r="F91" s="1"/>
      <c r="G91" s="1"/>
      <c r="H91" s="4"/>
    </row>
    <row x14ac:dyDescent="0.25" r="92" customHeight="1" ht="18.75">
      <c r="A92" s="1"/>
      <c r="B92" s="1" t="s">
        <v>102</v>
      </c>
      <c r="C92" s="2"/>
      <c r="D92" s="2"/>
      <c r="E92" s="1"/>
      <c r="F92" s="1"/>
      <c r="G92" s="1"/>
      <c r="H92" s="4"/>
    </row>
    <row x14ac:dyDescent="0.25" r="93" customHeight="1" ht="18.75">
      <c r="A93" s="1"/>
      <c r="B93" s="1"/>
      <c r="C93" s="2"/>
      <c r="D93" s="2"/>
      <c r="E93" s="1"/>
      <c r="F93" s="1"/>
      <c r="G93" s="1"/>
      <c r="H93" s="4"/>
    </row>
    <row x14ac:dyDescent="0.25" r="94" customHeight="1" ht="18.75">
      <c r="A94" s="1"/>
      <c r="B94" s="1" t="s">
        <v>103</v>
      </c>
      <c r="C94" s="2"/>
      <c r="D94" s="2"/>
      <c r="E94" s="1"/>
      <c r="F94" s="1"/>
      <c r="G94" s="1"/>
      <c r="H94" s="4"/>
    </row>
    <row x14ac:dyDescent="0.25" r="95" customHeight="1" ht="18.75">
      <c r="A95" s="1"/>
      <c r="B95" s="1" t="s">
        <v>104</v>
      </c>
      <c r="C95" s="2"/>
      <c r="D95" s="2"/>
      <c r="E95" s="1"/>
      <c r="F95" s="1"/>
      <c r="G95" s="1"/>
      <c r="H95" s="4"/>
    </row>
    <row x14ac:dyDescent="0.25" r="96" customHeight="1" ht="18.75">
      <c r="A96" s="1"/>
      <c r="B96" s="1" t="s">
        <v>44</v>
      </c>
      <c r="C96" s="2"/>
      <c r="D96" s="2"/>
      <c r="E96" s="1"/>
      <c r="F96" s="1"/>
      <c r="G96" s="1"/>
      <c r="H96" s="4"/>
    </row>
    <row x14ac:dyDescent="0.25" r="97" customHeight="1" ht="18.75">
      <c r="A97" s="1"/>
      <c r="B97" s="1"/>
      <c r="C97" s="2"/>
      <c r="D97" s="2"/>
      <c r="E97" s="1"/>
      <c r="F97" s="1"/>
      <c r="G97" s="1"/>
      <c r="H97" s="4"/>
    </row>
    <row x14ac:dyDescent="0.25" r="98" customHeight="1" ht="18.75">
      <c r="A98" s="1"/>
      <c r="B98" s="1" t="s">
        <v>105</v>
      </c>
      <c r="C98" s="2"/>
      <c r="D98" s="2"/>
      <c r="E98" s="1"/>
      <c r="F98" s="1"/>
      <c r="G98" s="1"/>
      <c r="H98" s="4"/>
    </row>
    <row x14ac:dyDescent="0.25" r="99" customHeight="1" ht="18.75">
      <c r="A99" s="1"/>
      <c r="B99" s="1"/>
      <c r="C99" s="2"/>
      <c r="D99" s="2"/>
      <c r="E99" s="1"/>
      <c r="F99" s="1"/>
      <c r="G99" s="1"/>
      <c r="H99" s="4"/>
    </row>
    <row x14ac:dyDescent="0.25" r="100" customHeight="1" ht="18.75">
      <c r="A100" s="1"/>
      <c r="B100" s="1" t="s">
        <v>106</v>
      </c>
      <c r="C100" s="2"/>
      <c r="D100" s="2"/>
      <c r="E100" s="1"/>
      <c r="F100" s="1"/>
      <c r="G100" s="1"/>
      <c r="H100" s="4"/>
    </row>
    <row x14ac:dyDescent="0.25" r="101" customHeight="1" ht="18.75">
      <c r="A101" s="1"/>
      <c r="B101" s="1" t="s">
        <v>70</v>
      </c>
      <c r="C101" s="2"/>
      <c r="D101" s="2"/>
      <c r="E101" s="1"/>
      <c r="F101" s="1"/>
      <c r="G101" s="1"/>
      <c r="H101" s="4"/>
    </row>
    <row x14ac:dyDescent="0.25" r="102" customHeight="1" ht="18.75">
      <c r="A102" s="1"/>
      <c r="B102" s="1" t="s">
        <v>107</v>
      </c>
      <c r="C102" s="2"/>
      <c r="D102" s="2"/>
      <c r="E102" s="1"/>
      <c r="F102" s="1"/>
      <c r="G102" s="1"/>
      <c r="H102" s="4"/>
    </row>
    <row x14ac:dyDescent="0.25" r="103" customHeight="1" ht="18.75">
      <c r="A103" s="1"/>
      <c r="B103" s="1" t="s">
        <v>57</v>
      </c>
      <c r="C103" s="2"/>
      <c r="D103" s="2"/>
      <c r="E103" s="1"/>
      <c r="F103" s="1"/>
      <c r="G103" s="1"/>
      <c r="H103" s="4"/>
    </row>
    <row x14ac:dyDescent="0.25" r="104" customHeight="1" ht="18.75">
      <c r="A104" s="1"/>
      <c r="B104" s="1" t="s">
        <v>108</v>
      </c>
      <c r="C104" s="2"/>
      <c r="D104" s="2"/>
      <c r="E104" s="1"/>
      <c r="F104" s="1"/>
      <c r="G104" s="1"/>
      <c r="H104" s="4"/>
    </row>
    <row x14ac:dyDescent="0.25" r="105" customHeight="1" ht="18.75">
      <c r="A105" s="1"/>
      <c r="B105" s="1" t="s">
        <v>72</v>
      </c>
      <c r="C105" s="2"/>
      <c r="D105" s="2"/>
      <c r="E105" s="1"/>
      <c r="F105" s="1"/>
      <c r="G105" s="1"/>
      <c r="H105" s="4"/>
    </row>
    <row x14ac:dyDescent="0.25" r="106" customHeight="1" ht="18.75">
      <c r="A106" s="1"/>
      <c r="B106" s="1" t="s">
        <v>73</v>
      </c>
      <c r="C106" s="2"/>
      <c r="D106" s="2"/>
      <c r="E106" s="1"/>
      <c r="F106" s="1"/>
      <c r="G106" s="1"/>
      <c r="H106" s="4"/>
    </row>
    <row x14ac:dyDescent="0.25" r="107" customHeight="1" ht="18.75">
      <c r="A107" s="1"/>
      <c r="B107" s="1" t="s">
        <v>109</v>
      </c>
      <c r="C107" s="2"/>
      <c r="D107" s="2"/>
      <c r="E107" s="1"/>
      <c r="F107" s="1"/>
      <c r="G107" s="1"/>
      <c r="H107" s="4"/>
    </row>
    <row x14ac:dyDescent="0.25" r="108" customHeight="1" ht="18.75">
      <c r="A108" s="1"/>
      <c r="B108" s="1" t="s">
        <v>79</v>
      </c>
      <c r="C108" s="2"/>
      <c r="D108" s="2"/>
      <c r="E108" s="1"/>
      <c r="F108" s="1"/>
      <c r="G108" s="1"/>
      <c r="H108" s="4"/>
    </row>
    <row x14ac:dyDescent="0.25" r="109" customHeight="1" ht="18.75">
      <c r="A109" s="1"/>
      <c r="B109" s="1"/>
      <c r="C109" s="2"/>
      <c r="D109" s="2"/>
      <c r="E109" s="1"/>
      <c r="F109" s="1"/>
      <c r="G109" s="1"/>
      <c r="H109" s="4"/>
    </row>
    <row x14ac:dyDescent="0.25" r="110" customHeight="1" ht="18.75">
      <c r="A110" s="1"/>
      <c r="B110" s="1"/>
      <c r="C110" s="2"/>
      <c r="D110" s="2"/>
      <c r="E110" s="1"/>
      <c r="F110" s="1"/>
      <c r="G110" s="1"/>
      <c r="H110" s="4"/>
    </row>
    <row x14ac:dyDescent="0.25" r="111" customHeight="1" ht="18.75">
      <c r="A111" s="1"/>
      <c r="B111" s="1"/>
      <c r="C111" s="2"/>
      <c r="D111" s="2"/>
      <c r="E111" s="1"/>
      <c r="F111" s="1"/>
      <c r="G111" s="1"/>
      <c r="H111" s="4"/>
    </row>
    <row x14ac:dyDescent="0.25" r="112" customHeight="1" ht="18.75">
      <c r="A112" s="1"/>
      <c r="B112" s="1" t="s">
        <v>110</v>
      </c>
      <c r="C112" s="2"/>
      <c r="D112" s="2"/>
      <c r="E112" s="1"/>
      <c r="F112" s="1"/>
      <c r="G112" s="1"/>
      <c r="H112" s="4"/>
    </row>
    <row x14ac:dyDescent="0.25" r="113" customHeight="1" ht="18.75">
      <c r="A113" s="1"/>
      <c r="B113" s="1"/>
      <c r="C113" s="2"/>
      <c r="D113" s="2"/>
      <c r="E113" s="1"/>
      <c r="F113" s="1"/>
      <c r="G113" s="1"/>
      <c r="H113" s="4"/>
    </row>
    <row x14ac:dyDescent="0.25" r="114" customHeight="1" ht="18.75">
      <c r="A114" s="1"/>
      <c r="B114" s="1" t="s">
        <v>111</v>
      </c>
      <c r="C114" s="2" t="s">
        <v>112</v>
      </c>
      <c r="D114" s="2"/>
      <c r="E114" s="1"/>
      <c r="F114" s="1"/>
      <c r="G114" s="1"/>
      <c r="H114" s="4"/>
    </row>
    <row x14ac:dyDescent="0.25" r="115" customHeight="1" ht="18.75">
      <c r="A115" s="1"/>
      <c r="B115" s="1" t="s">
        <v>113</v>
      </c>
      <c r="C115" s="3">
        <v>0.12</v>
      </c>
      <c r="D115" s="2"/>
      <c r="E115" s="1"/>
      <c r="F115" s="1"/>
      <c r="G115" s="1"/>
      <c r="H115" s="4"/>
    </row>
    <row x14ac:dyDescent="0.25" r="116" customHeight="1" ht="18.75">
      <c r="A116" s="1"/>
      <c r="B116" s="1" t="s">
        <v>114</v>
      </c>
      <c r="C116" s="3">
        <v>0.12</v>
      </c>
      <c r="D116" s="2"/>
      <c r="E116" s="1"/>
      <c r="F116" s="1"/>
      <c r="G116" s="1"/>
      <c r="H116" s="4"/>
    </row>
    <row x14ac:dyDescent="0.25" r="117" customHeight="1" ht="18.75">
      <c r="A117" s="1"/>
      <c r="B117" s="1" t="s">
        <v>115</v>
      </c>
      <c r="C117" s="3">
        <v>0.1</v>
      </c>
      <c r="D117" s="2"/>
      <c r="E117" s="1"/>
      <c r="F117" s="1"/>
      <c r="G117" s="1"/>
      <c r="H117" s="4"/>
    </row>
    <row x14ac:dyDescent="0.25" r="118" customHeight="1" ht="18.75">
      <c r="A118" s="1"/>
      <c r="B118" s="1" t="s">
        <v>116</v>
      </c>
      <c r="C118" s="3">
        <v>0.1</v>
      </c>
      <c r="D118" s="2"/>
      <c r="E118" s="1"/>
      <c r="F118" s="1"/>
      <c r="G118" s="1"/>
      <c r="H118" s="4"/>
    </row>
    <row x14ac:dyDescent="0.25" r="119" customHeight="1" ht="18.75">
      <c r="A119" s="1"/>
      <c r="B119" s="1" t="s">
        <v>117</v>
      </c>
      <c r="C119" s="3">
        <v>0.1</v>
      </c>
      <c r="D119" s="2"/>
      <c r="E119" s="1"/>
      <c r="F119" s="1"/>
      <c r="G119" s="1"/>
      <c r="H119" s="4"/>
    </row>
    <row x14ac:dyDescent="0.25" r="120" customHeight="1" ht="18.75">
      <c r="A120" s="1"/>
      <c r="B120" s="1" t="s">
        <v>118</v>
      </c>
      <c r="C120" s="3">
        <v>0.1</v>
      </c>
      <c r="D120" s="2"/>
      <c r="E120" s="1"/>
      <c r="F120" s="1"/>
      <c r="G120" s="1"/>
      <c r="H120" s="4"/>
    </row>
    <row x14ac:dyDescent="0.25" r="121" customHeight="1" ht="18.75">
      <c r="A121" s="1"/>
      <c r="B121" s="1" t="s">
        <v>119</v>
      </c>
      <c r="C121" s="3">
        <v>0.04</v>
      </c>
      <c r="D121" s="2"/>
      <c r="E121" s="1"/>
      <c r="F121" s="1"/>
      <c r="G121" s="1"/>
      <c r="H121" s="4"/>
    </row>
    <row x14ac:dyDescent="0.25" r="122" customHeight="1" ht="18.75">
      <c r="A122" s="1"/>
      <c r="B122" s="1" t="s">
        <v>120</v>
      </c>
      <c r="C122" s="3">
        <v>0.04</v>
      </c>
      <c r="D122" s="2"/>
      <c r="E122" s="1"/>
      <c r="F122" s="1"/>
      <c r="G122" s="1"/>
      <c r="H122" s="4"/>
    </row>
    <row x14ac:dyDescent="0.25" r="123" customHeight="1" ht="18.75">
      <c r="A123" s="1"/>
      <c r="B123" s="1" t="s">
        <v>121</v>
      </c>
      <c r="C123" s="3">
        <v>0</v>
      </c>
      <c r="D123" s="2"/>
      <c r="E123" s="1"/>
      <c r="F123" s="1"/>
      <c r="G123" s="1"/>
      <c r="H123" s="4"/>
    </row>
    <row x14ac:dyDescent="0.25" r="124" customHeight="1" ht="18.75">
      <c r="A124" s="1"/>
      <c r="B124" s="1"/>
      <c r="C124" s="2"/>
      <c r="D124" s="2"/>
      <c r="E124" s="1"/>
      <c r="F124" s="1"/>
      <c r="G124" s="1"/>
      <c r="H124" s="4"/>
    </row>
    <row x14ac:dyDescent="0.25" r="125" customHeight="1" ht="18.75">
      <c r="A125" s="1"/>
      <c r="B125" s="1"/>
      <c r="C125" s="2"/>
      <c r="D125" s="2"/>
      <c r="E125" s="1"/>
      <c r="F125" s="1"/>
      <c r="G125" s="1"/>
      <c r="H125" s="4"/>
    </row>
    <row x14ac:dyDescent="0.25" r="126" customHeight="1" ht="18.75">
      <c r="A126" s="1"/>
      <c r="B126" s="1"/>
      <c r="C126" s="2"/>
      <c r="D126" s="2"/>
      <c r="E126" s="1"/>
      <c r="F126" s="1"/>
      <c r="G126" s="1"/>
      <c r="H126" s="4"/>
    </row>
    <row x14ac:dyDescent="0.25" r="127" customHeight="1" ht="18.75">
      <c r="A127" s="1"/>
      <c r="B127" s="1"/>
      <c r="C127" s="2"/>
      <c r="D127" s="2"/>
      <c r="E127" s="1"/>
      <c r="F127" s="1"/>
      <c r="G127" s="1"/>
      <c r="H127" s="4"/>
    </row>
    <row x14ac:dyDescent="0.25" r="128" customHeight="1" ht="18.75">
      <c r="A128" s="1"/>
      <c r="B128" s="1"/>
      <c r="C128" s="2"/>
      <c r="D128" s="2"/>
      <c r="E128" s="1"/>
      <c r="F128" s="1"/>
      <c r="G128" s="1"/>
      <c r="H128" s="4"/>
    </row>
    <row x14ac:dyDescent="0.25" r="129" customHeight="1" ht="18.75">
      <c r="A129" s="1"/>
      <c r="B129" s="1"/>
      <c r="C129" s="2"/>
      <c r="D129" s="2"/>
      <c r="E129" s="1"/>
      <c r="F129" s="1"/>
      <c r="G129" s="1"/>
      <c r="H129" s="4"/>
    </row>
    <row x14ac:dyDescent="0.25" r="130" customHeight="1" ht="18.75">
      <c r="A130" s="1"/>
      <c r="B130" s="1"/>
      <c r="C130" s="2"/>
      <c r="D130" s="2"/>
      <c r="E130" s="1"/>
      <c r="F130" s="1"/>
      <c r="G130" s="1"/>
      <c r="H130" s="4"/>
    </row>
    <row x14ac:dyDescent="0.25" r="131" customHeight="1" ht="18.75">
      <c r="A131" s="1"/>
      <c r="B131" s="1"/>
      <c r="C131" s="2"/>
      <c r="D131" s="2"/>
      <c r="E131" s="1"/>
      <c r="F131" s="1"/>
      <c r="G131" s="1"/>
      <c r="H131" s="4"/>
    </row>
    <row x14ac:dyDescent="0.25" r="132" customHeight="1" ht="18.75">
      <c r="A132" s="1"/>
      <c r="B132" s="1"/>
      <c r="C132" s="2"/>
      <c r="D132" s="2"/>
      <c r="E132" s="1"/>
      <c r="F132" s="1"/>
      <c r="G132" s="1"/>
      <c r="H132" s="4"/>
    </row>
    <row x14ac:dyDescent="0.25" r="133" customHeight="1" ht="18.75">
      <c r="A133" s="1"/>
      <c r="B133" s="1"/>
      <c r="C133" s="2"/>
      <c r="D133" s="2"/>
      <c r="E133" s="1"/>
      <c r="F133" s="1"/>
      <c r="G133" s="1"/>
      <c r="H133" s="4"/>
    </row>
    <row x14ac:dyDescent="0.25" r="134" customHeight="1" ht="18.75">
      <c r="A134" s="1"/>
      <c r="B134" s="1"/>
      <c r="C134" s="2"/>
      <c r="D134" s="2"/>
      <c r="E134" s="1"/>
      <c r="F134" s="1"/>
      <c r="G134" s="1"/>
      <c r="H134" s="4"/>
    </row>
    <row x14ac:dyDescent="0.25" r="135" customHeight="1" ht="18.75">
      <c r="A135" s="1"/>
      <c r="B135" s="1"/>
      <c r="C135" s="2"/>
      <c r="D135" s="2"/>
      <c r="E135" s="1"/>
      <c r="F135" s="1"/>
      <c r="G135" s="1"/>
      <c r="H135" s="4"/>
    </row>
    <row x14ac:dyDescent="0.25" r="136" customHeight="1" ht="18.75">
      <c r="A136" s="1"/>
      <c r="B136" s="1"/>
      <c r="C136" s="2"/>
      <c r="D136" s="2"/>
      <c r="E136" s="1"/>
      <c r="F136" s="1"/>
      <c r="G136" s="1"/>
      <c r="H136" s="4"/>
    </row>
    <row x14ac:dyDescent="0.25" r="137" customHeight="1" ht="18.75">
      <c r="A137" s="1"/>
      <c r="B137" s="1"/>
      <c r="C137" s="2"/>
      <c r="D137" s="2"/>
      <c r="E137" s="1"/>
      <c r="F137" s="1"/>
      <c r="G137" s="1"/>
      <c r="H137" s="4"/>
    </row>
    <row x14ac:dyDescent="0.25" r="138" customHeight="1" ht="18.75">
      <c r="A138" s="1"/>
      <c r="B138" s="1"/>
      <c r="C138" s="2"/>
      <c r="D138" s="2"/>
      <c r="E138" s="1"/>
      <c r="F138" s="1"/>
      <c r="G138" s="1"/>
      <c r="H138" s="4"/>
    </row>
    <row x14ac:dyDescent="0.25" r="139" customHeight="1" ht="18.75">
      <c r="A139" s="1"/>
      <c r="B139" s="1"/>
      <c r="C139" s="2"/>
      <c r="D139" s="2"/>
      <c r="E139" s="1"/>
      <c r="F139" s="1"/>
      <c r="G139" s="1"/>
      <c r="H139" s="4"/>
    </row>
    <row x14ac:dyDescent="0.25" r="140" customHeight="1" ht="18.75">
      <c r="A140" s="1"/>
      <c r="B140" s="1"/>
      <c r="C140" s="2"/>
      <c r="D140" s="2"/>
      <c r="E140" s="1"/>
      <c r="F140" s="1"/>
      <c r="G140" s="1"/>
      <c r="H140" s="4"/>
    </row>
    <row x14ac:dyDescent="0.25" r="141" customHeight="1" ht="18.75">
      <c r="A141" s="1"/>
      <c r="B141" s="1"/>
      <c r="C141" s="2"/>
      <c r="D141" s="2"/>
      <c r="E141" s="1"/>
      <c r="F141" s="1"/>
      <c r="G141" s="1"/>
      <c r="H141" s="4"/>
    </row>
    <row x14ac:dyDescent="0.25" r="142" customHeight="1" ht="18.75">
      <c r="A142" s="1"/>
      <c r="B142" s="1"/>
      <c r="C142" s="2"/>
      <c r="D142" s="2"/>
      <c r="E142" s="1"/>
      <c r="F142" s="1"/>
      <c r="G142" s="1"/>
      <c r="H142" s="4"/>
    </row>
    <row x14ac:dyDescent="0.25" r="143" customHeight="1" ht="18.75">
      <c r="A143" s="1"/>
      <c r="B143" s="1"/>
      <c r="C143" s="2"/>
      <c r="D143" s="2"/>
      <c r="E143" s="1"/>
      <c r="F143" s="1"/>
      <c r="G143" s="1"/>
      <c r="H143" s="4"/>
    </row>
    <row x14ac:dyDescent="0.25" r="144" customHeight="1" ht="18.75">
      <c r="A144" s="1"/>
      <c r="B144" s="1"/>
      <c r="C144" s="2"/>
      <c r="D144" s="2"/>
      <c r="E144" s="1"/>
      <c r="F144" s="1"/>
      <c r="G144" s="1"/>
      <c r="H144" s="4"/>
    </row>
    <row x14ac:dyDescent="0.25" r="145" customHeight="1" ht="18.75">
      <c r="A145" s="1"/>
      <c r="B145" s="1"/>
      <c r="C145" s="2"/>
      <c r="D145" s="2"/>
      <c r="E145" s="1"/>
      <c r="F145" s="1"/>
      <c r="G145" s="1"/>
      <c r="H145" s="4"/>
    </row>
    <row x14ac:dyDescent="0.25" r="146" customHeight="1" ht="18.75">
      <c r="A146" s="1"/>
      <c r="B146" s="1"/>
      <c r="C146" s="2"/>
      <c r="D146" s="2"/>
      <c r="E146" s="1"/>
      <c r="F146" s="1"/>
      <c r="G146" s="1"/>
      <c r="H146" s="4"/>
    </row>
    <row x14ac:dyDescent="0.25" r="147" customHeight="1" ht="18.75">
      <c r="A147" s="1"/>
      <c r="B147" s="1"/>
      <c r="C147" s="2"/>
      <c r="D147" s="2"/>
      <c r="E147" s="1"/>
      <c r="F147" s="1"/>
      <c r="G147" s="1"/>
      <c r="H147" s="4"/>
    </row>
    <row x14ac:dyDescent="0.25" r="148" customHeight="1" ht="18.75">
      <c r="A148" s="1"/>
      <c r="B148" s="1"/>
      <c r="C148" s="2"/>
      <c r="D148" s="2"/>
      <c r="E148" s="1"/>
      <c r="F148" s="1"/>
      <c r="G148" s="1"/>
      <c r="H148" s="4"/>
    </row>
    <row x14ac:dyDescent="0.25" r="149" customHeight="1" ht="18.75">
      <c r="A149" s="1"/>
      <c r="B149" s="1"/>
      <c r="C149" s="2"/>
      <c r="D149" s="2"/>
      <c r="E149" s="1"/>
      <c r="F149" s="1"/>
      <c r="G149" s="1"/>
      <c r="H149" s="4"/>
    </row>
    <row x14ac:dyDescent="0.25" r="150" customHeight="1" ht="18.75">
      <c r="A150" s="1"/>
      <c r="B150" s="1"/>
      <c r="C150" s="2"/>
      <c r="D150" s="2"/>
      <c r="E150" s="1"/>
      <c r="F150" s="1"/>
      <c r="G150" s="1"/>
      <c r="H150" s="4"/>
    </row>
    <row x14ac:dyDescent="0.25" r="151" customHeight="1" ht="18.75">
      <c r="A151" s="1"/>
      <c r="B151" s="1"/>
      <c r="C151" s="2"/>
      <c r="D151" s="2"/>
      <c r="E151" s="1"/>
      <c r="F151" s="1"/>
      <c r="G151" s="1"/>
      <c r="H151" s="4"/>
    </row>
    <row x14ac:dyDescent="0.25" r="152" customHeight="1" ht="18.75">
      <c r="A152" s="1"/>
      <c r="B152" s="1"/>
      <c r="C152" s="2"/>
      <c r="D152" s="2"/>
      <c r="E152" s="1"/>
      <c r="F152" s="1"/>
      <c r="G152" s="1"/>
      <c r="H152" s="4"/>
    </row>
    <row x14ac:dyDescent="0.25" r="153" customHeight="1" ht="18.75">
      <c r="A153" s="1"/>
      <c r="B153" s="1"/>
      <c r="C153" s="2"/>
      <c r="D153" s="2"/>
      <c r="E153" s="1"/>
      <c r="F153" s="1"/>
      <c r="G153" s="1"/>
      <c r="H153" s="4"/>
    </row>
    <row x14ac:dyDescent="0.25" r="154" customHeight="1" ht="18.75">
      <c r="A154" s="1"/>
      <c r="B154" s="1"/>
      <c r="C154" s="2"/>
      <c r="D154" s="2"/>
      <c r="E154" s="1"/>
      <c r="F154" s="1"/>
      <c r="G154" s="1"/>
      <c r="H154" s="4"/>
    </row>
    <row x14ac:dyDescent="0.25" r="155" customHeight="1" ht="18.75">
      <c r="A155" s="1"/>
      <c r="B155" s="1"/>
      <c r="C155" s="2"/>
      <c r="D155" s="2"/>
      <c r="E155" s="1"/>
      <c r="F155" s="1"/>
      <c r="G155" s="1"/>
      <c r="H155" s="4"/>
    </row>
    <row x14ac:dyDescent="0.25" r="156" customHeight="1" ht="18.75">
      <c r="A156" s="1"/>
      <c r="B156" s="1"/>
      <c r="C156" s="2"/>
      <c r="D156" s="2"/>
      <c r="E156" s="1"/>
      <c r="F156" s="1"/>
      <c r="G156" s="1"/>
      <c r="H156" s="4"/>
    </row>
    <row x14ac:dyDescent="0.25" r="157" customHeight="1" ht="18.75">
      <c r="A157" s="1"/>
      <c r="B157" s="1"/>
      <c r="C157" s="2"/>
      <c r="D157" s="2"/>
      <c r="E157" s="1"/>
      <c r="F157" s="1"/>
      <c r="G157" s="1"/>
      <c r="H157" s="4"/>
    </row>
    <row x14ac:dyDescent="0.25" r="158" customHeight="1" ht="18.75">
      <c r="A158" s="1"/>
      <c r="B158" s="1"/>
      <c r="C158" s="2"/>
      <c r="D158" s="2"/>
      <c r="E158" s="1"/>
      <c r="F158" s="1"/>
      <c r="G158" s="1"/>
      <c r="H158" s="4"/>
    </row>
    <row x14ac:dyDescent="0.25" r="159" customHeight="1" ht="18.75">
      <c r="A159" s="1"/>
      <c r="B159" s="1"/>
      <c r="C159" s="2"/>
      <c r="D159" s="2"/>
      <c r="E159" s="1"/>
      <c r="F159" s="1"/>
      <c r="G159" s="1"/>
      <c r="H159" s="4"/>
    </row>
    <row x14ac:dyDescent="0.25" r="160" customHeight="1" ht="18.75">
      <c r="A160" s="1"/>
      <c r="B160" s="1"/>
      <c r="C160" s="2"/>
      <c r="D160" s="2"/>
      <c r="E160" s="1"/>
      <c r="F160" s="1"/>
      <c r="G160" s="1"/>
      <c r="H160" s="4"/>
    </row>
    <row x14ac:dyDescent="0.25" r="161" customHeight="1" ht="18.75">
      <c r="A161" s="1"/>
      <c r="B161" s="1"/>
      <c r="C161" s="2"/>
      <c r="D161" s="2"/>
      <c r="E161" s="1"/>
      <c r="F161" s="1"/>
      <c r="G161" s="1"/>
      <c r="H161" s="4"/>
    </row>
    <row x14ac:dyDescent="0.25" r="162" customHeight="1" ht="18.75">
      <c r="A162" s="1"/>
      <c r="B162" s="1"/>
      <c r="C162" s="2"/>
      <c r="D162" s="2"/>
      <c r="E162" s="1"/>
      <c r="F162" s="1"/>
      <c r="G162" s="1"/>
      <c r="H162" s="4"/>
    </row>
    <row x14ac:dyDescent="0.25" r="163" customHeight="1" ht="18.75">
      <c r="A163" s="1"/>
      <c r="B163" s="1"/>
      <c r="C163" s="2"/>
      <c r="D163" s="2"/>
      <c r="E163" s="1"/>
      <c r="F163" s="1"/>
      <c r="G163" s="1"/>
      <c r="H163" s="4"/>
    </row>
    <row x14ac:dyDescent="0.25" r="164" customHeight="1" ht="18.75">
      <c r="A164" s="1"/>
      <c r="B164" s="1"/>
      <c r="C164" s="2"/>
      <c r="D164" s="2"/>
      <c r="E164" s="1"/>
      <c r="F164" s="1"/>
      <c r="G164" s="1"/>
      <c r="H164" s="4"/>
    </row>
    <row x14ac:dyDescent="0.25" r="165" customHeight="1" ht="18.75">
      <c r="A165" s="1"/>
      <c r="B165" s="1"/>
      <c r="C165" s="2"/>
      <c r="D165" s="2"/>
      <c r="E165" s="1"/>
      <c r="F165" s="1"/>
      <c r="G165" s="1"/>
      <c r="H165" s="4"/>
    </row>
    <row x14ac:dyDescent="0.25" r="166" customHeight="1" ht="18.75">
      <c r="A166" s="1"/>
      <c r="B166" s="1"/>
      <c r="C166" s="2"/>
      <c r="D166" s="2"/>
      <c r="E166" s="1"/>
      <c r="F166" s="1"/>
      <c r="G166" s="1"/>
      <c r="H166" s="4"/>
    </row>
    <row x14ac:dyDescent="0.25" r="167" customHeight="1" ht="18.75">
      <c r="A167" s="1"/>
      <c r="B167" s="1"/>
      <c r="C167" s="2"/>
      <c r="D167" s="2"/>
      <c r="E167" s="1"/>
      <c r="F167" s="1"/>
      <c r="G167" s="1"/>
      <c r="H167" s="4"/>
    </row>
    <row x14ac:dyDescent="0.25" r="168" customHeight="1" ht="18.75">
      <c r="A168" s="1"/>
      <c r="B168" s="1"/>
      <c r="C168" s="2"/>
      <c r="D168" s="2"/>
      <c r="E168" s="1"/>
      <c r="F168" s="1"/>
      <c r="G168" s="1"/>
      <c r="H168" s="4"/>
    </row>
    <row x14ac:dyDescent="0.25" r="169" customHeight="1" ht="18.75">
      <c r="A169" s="1"/>
      <c r="B169" s="1"/>
      <c r="C169" s="2"/>
      <c r="D169" s="2"/>
      <c r="E169" s="1"/>
      <c r="F169" s="1"/>
      <c r="G169" s="1"/>
      <c r="H169" s="4"/>
    </row>
    <row x14ac:dyDescent="0.25" r="170" customHeight="1" ht="18.75">
      <c r="A170" s="1"/>
      <c r="B170" s="1"/>
      <c r="C170" s="2"/>
      <c r="D170" s="2"/>
      <c r="E170" s="1"/>
      <c r="F170" s="1"/>
      <c r="G170" s="1"/>
      <c r="H170" s="4"/>
    </row>
    <row x14ac:dyDescent="0.25" r="171" customHeight="1" ht="18.75">
      <c r="A171" s="1"/>
      <c r="B171" s="1"/>
      <c r="C171" s="2"/>
      <c r="D171" s="2"/>
      <c r="E171" s="1"/>
      <c r="F171" s="1"/>
      <c r="G171" s="1"/>
      <c r="H171" s="4"/>
    </row>
    <row x14ac:dyDescent="0.25" r="172" customHeight="1" ht="18.75">
      <c r="A172" s="1"/>
      <c r="B172" s="1"/>
      <c r="C172" s="2"/>
      <c r="D172" s="2"/>
      <c r="E172" s="1"/>
      <c r="F172" s="1"/>
      <c r="G172" s="1"/>
      <c r="H172" s="4"/>
    </row>
    <row x14ac:dyDescent="0.25" r="173" customHeight="1" ht="18.75">
      <c r="A173" s="1"/>
      <c r="B173" s="1"/>
      <c r="C173" s="2"/>
      <c r="D173" s="2"/>
      <c r="E173" s="1"/>
      <c r="F173" s="1"/>
      <c r="G173" s="1"/>
      <c r="H173" s="4"/>
    </row>
    <row x14ac:dyDescent="0.25" r="174" customHeight="1" ht="18.75">
      <c r="A174" s="1"/>
      <c r="B174" s="1"/>
      <c r="C174" s="2"/>
      <c r="D174" s="2"/>
      <c r="E174" s="1"/>
      <c r="F174" s="1"/>
      <c r="G174" s="1"/>
      <c r="H174" s="4"/>
    </row>
    <row x14ac:dyDescent="0.25" r="175" customHeight="1" ht="18.75">
      <c r="A175" s="1"/>
      <c r="B175" s="1"/>
      <c r="C175" s="2"/>
      <c r="D175" s="2"/>
      <c r="E175" s="1"/>
      <c r="F175" s="1"/>
      <c r="G175" s="1"/>
      <c r="H175" s="4"/>
    </row>
    <row x14ac:dyDescent="0.25" r="176" customHeight="1" ht="18.75">
      <c r="A176" s="1"/>
      <c r="B176" s="1"/>
      <c r="C176" s="2"/>
      <c r="D176" s="2"/>
      <c r="E176" s="1"/>
      <c r="F176" s="1"/>
      <c r="G176" s="1"/>
      <c r="H176" s="4"/>
    </row>
    <row x14ac:dyDescent="0.25" r="177" customHeight="1" ht="18.75">
      <c r="A177" s="1"/>
      <c r="B177" s="1"/>
      <c r="C177" s="2"/>
      <c r="D177" s="2"/>
      <c r="E177" s="1"/>
      <c r="F177" s="1"/>
      <c r="G177" s="1"/>
      <c r="H177" s="4"/>
    </row>
    <row x14ac:dyDescent="0.25" r="178" customHeight="1" ht="18.75">
      <c r="A178" s="1"/>
      <c r="B178" s="1"/>
      <c r="C178" s="2"/>
      <c r="D178" s="2"/>
      <c r="E178" s="1"/>
      <c r="F178" s="1"/>
      <c r="G178" s="1"/>
      <c r="H178" s="4"/>
    </row>
    <row x14ac:dyDescent="0.25" r="179" customHeight="1" ht="18.75">
      <c r="A179" s="1"/>
      <c r="B179" s="1"/>
      <c r="C179" s="2"/>
      <c r="D179" s="2"/>
      <c r="E179" s="1"/>
      <c r="F179" s="1"/>
      <c r="G179" s="1"/>
      <c r="H179" s="4"/>
    </row>
    <row x14ac:dyDescent="0.25" r="180" customHeight="1" ht="18.75">
      <c r="A180" s="1"/>
      <c r="B180" s="1"/>
      <c r="C180" s="2"/>
      <c r="D180" s="2"/>
      <c r="E180" s="1"/>
      <c r="F180" s="1"/>
      <c r="G180" s="1"/>
      <c r="H180" s="4"/>
    </row>
    <row x14ac:dyDescent="0.25" r="181" customHeight="1" ht="18.75">
      <c r="A181" s="1"/>
      <c r="B181" s="1"/>
      <c r="C181" s="2"/>
      <c r="D181" s="2"/>
      <c r="E181" s="1"/>
      <c r="F181" s="1"/>
      <c r="G181" s="1"/>
      <c r="H181" s="4"/>
    </row>
    <row x14ac:dyDescent="0.25" r="182" customHeight="1" ht="18.75">
      <c r="A182" s="1"/>
      <c r="B182" s="1"/>
      <c r="C182" s="2"/>
      <c r="D182" s="2"/>
      <c r="E182" s="1"/>
      <c r="F182" s="1"/>
      <c r="G182" s="1"/>
      <c r="H182" s="4"/>
    </row>
    <row x14ac:dyDescent="0.25" r="183" customHeight="1" ht="18.75">
      <c r="A183" s="1"/>
      <c r="B183" s="1"/>
      <c r="C183" s="2"/>
      <c r="D183" s="2"/>
      <c r="E183" s="1"/>
      <c r="F183" s="1"/>
      <c r="G183" s="1"/>
      <c r="H183" s="4"/>
    </row>
    <row x14ac:dyDescent="0.25" r="184" customHeight="1" ht="18.75">
      <c r="A184" s="1"/>
      <c r="B184" s="1"/>
      <c r="C184" s="2"/>
      <c r="D184" s="2"/>
      <c r="E184" s="1"/>
      <c r="F184" s="1"/>
      <c r="G184" s="1"/>
      <c r="H184" s="4"/>
    </row>
    <row x14ac:dyDescent="0.25" r="185" customHeight="1" ht="18.75">
      <c r="A185" s="1"/>
      <c r="B185" s="1"/>
      <c r="C185" s="2"/>
      <c r="D185" s="2"/>
      <c r="E185" s="1"/>
      <c r="F185" s="1"/>
      <c r="G185" s="1"/>
      <c r="H185" s="4"/>
    </row>
    <row x14ac:dyDescent="0.25" r="186" customHeight="1" ht="18.75">
      <c r="A186" s="1"/>
      <c r="B186" s="1"/>
      <c r="C186" s="2"/>
      <c r="D186" s="2"/>
      <c r="E186" s="1"/>
      <c r="F186" s="1"/>
      <c r="G186" s="1"/>
      <c r="H186" s="4"/>
    </row>
    <row x14ac:dyDescent="0.25" r="187" customHeight="1" ht="18.75">
      <c r="A187" s="1"/>
      <c r="B187" s="1"/>
      <c r="C187" s="2"/>
      <c r="D187" s="2"/>
      <c r="E187" s="1"/>
      <c r="F187" s="1"/>
      <c r="G187" s="1"/>
      <c r="H187" s="4"/>
    </row>
    <row x14ac:dyDescent="0.25" r="188" customHeight="1" ht="18.75">
      <c r="A188" s="1"/>
      <c r="B188" s="1"/>
      <c r="C188" s="2"/>
      <c r="D188" s="2"/>
      <c r="E188" s="1"/>
      <c r="F188" s="1"/>
      <c r="G188" s="1"/>
      <c r="H188" s="4"/>
    </row>
    <row x14ac:dyDescent="0.25" r="189" customHeight="1" ht="18.75">
      <c r="A189" s="1"/>
      <c r="B189" s="1"/>
      <c r="C189" s="2"/>
      <c r="D189" s="2"/>
      <c r="E189" s="1"/>
      <c r="F189" s="1"/>
      <c r="G189" s="1"/>
      <c r="H189" s="4"/>
    </row>
    <row x14ac:dyDescent="0.25" r="190" customHeight="1" ht="18.75">
      <c r="A190" s="1"/>
      <c r="B190" s="1"/>
      <c r="C190" s="2"/>
      <c r="D190" s="2"/>
      <c r="E190" s="1"/>
      <c r="F190" s="1"/>
      <c r="G190" s="1"/>
      <c r="H190" s="4"/>
    </row>
    <row x14ac:dyDescent="0.25" r="191" customHeight="1" ht="18.75">
      <c r="A191" s="1"/>
      <c r="B191" s="1"/>
      <c r="C191" s="2"/>
      <c r="D191" s="2"/>
      <c r="E191" s="1"/>
      <c r="F191" s="1"/>
      <c r="G191" s="1"/>
      <c r="H191" s="4"/>
    </row>
    <row x14ac:dyDescent="0.25" r="192" customHeight="1" ht="18.75">
      <c r="A192" s="1"/>
      <c r="B192" s="1"/>
      <c r="C192" s="2"/>
      <c r="D192" s="2"/>
      <c r="E192" s="1"/>
      <c r="F192" s="1"/>
      <c r="G192" s="1"/>
      <c r="H192" s="4"/>
    </row>
    <row x14ac:dyDescent="0.25" r="193" customHeight="1" ht="18.75">
      <c r="A193" s="1"/>
      <c r="B193" s="1"/>
      <c r="C193" s="2"/>
      <c r="D193" s="2"/>
      <c r="E193" s="1"/>
      <c r="F193" s="1"/>
      <c r="G193" s="1"/>
      <c r="H193" s="4"/>
    </row>
    <row x14ac:dyDescent="0.25" r="194" customHeight="1" ht="18.75">
      <c r="A194" s="1"/>
      <c r="B194" s="1"/>
      <c r="C194" s="2"/>
      <c r="D194" s="2"/>
      <c r="E194" s="1"/>
      <c r="F194" s="1"/>
      <c r="G194" s="1"/>
      <c r="H194" s="4"/>
    </row>
    <row x14ac:dyDescent="0.25" r="195" customHeight="1" ht="18.75">
      <c r="A195" s="1"/>
      <c r="B195" s="1"/>
      <c r="C195" s="2"/>
      <c r="D195" s="2"/>
      <c r="E195" s="1"/>
      <c r="F195" s="1"/>
      <c r="G195" s="1"/>
      <c r="H195" s="4"/>
    </row>
    <row x14ac:dyDescent="0.25" r="196" customHeight="1" ht="18.75">
      <c r="A196" s="1"/>
      <c r="B196" s="1"/>
      <c r="C196" s="2"/>
      <c r="D196" s="2"/>
      <c r="E196" s="1"/>
      <c r="F196" s="1"/>
      <c r="G196" s="1"/>
      <c r="H196" s="4"/>
    </row>
    <row x14ac:dyDescent="0.25" r="197" customHeight="1" ht="18.75">
      <c r="A197" s="1"/>
      <c r="B197" s="1"/>
      <c r="C197" s="2"/>
      <c r="D197" s="2"/>
      <c r="E197" s="1"/>
      <c r="F197" s="1"/>
      <c r="G197" s="1"/>
      <c r="H197" s="4"/>
    </row>
    <row x14ac:dyDescent="0.25" r="198" customHeight="1" ht="18.75">
      <c r="A198" s="1"/>
      <c r="B198" s="1"/>
      <c r="C198" s="2"/>
      <c r="D198" s="2"/>
      <c r="E198" s="1"/>
      <c r="F198" s="1"/>
      <c r="G198" s="1"/>
      <c r="H198" s="4"/>
    </row>
    <row x14ac:dyDescent="0.25" r="199" customHeight="1" ht="18.75">
      <c r="A199" s="1"/>
      <c r="B199" s="1"/>
      <c r="C199" s="2"/>
      <c r="D199" s="2"/>
      <c r="E199" s="1"/>
      <c r="F199" s="1"/>
      <c r="G199" s="1"/>
      <c r="H199" s="4"/>
    </row>
    <row x14ac:dyDescent="0.25" r="200" customHeight="1" ht="18.75">
      <c r="A200" s="1"/>
      <c r="B200" s="1"/>
      <c r="C200" s="2"/>
      <c r="D200" s="2"/>
      <c r="E200" s="1"/>
      <c r="F200" s="1"/>
      <c r="G200" s="1"/>
      <c r="H200" s="4"/>
    </row>
    <row x14ac:dyDescent="0.25" r="201" customHeight="1" ht="18.75">
      <c r="A201" s="1"/>
      <c r="B201" s="1"/>
      <c r="C201" s="2"/>
      <c r="D201" s="2"/>
      <c r="E201" s="1"/>
      <c r="F201" s="1"/>
      <c r="G201" s="1"/>
      <c r="H201" s="4"/>
    </row>
    <row x14ac:dyDescent="0.25" r="202" customHeight="1" ht="18.75">
      <c r="A202" s="1"/>
      <c r="B202" s="1"/>
      <c r="C202" s="2"/>
      <c r="D202" s="2"/>
      <c r="E202" s="1"/>
      <c r="F202" s="1"/>
      <c r="G202" s="1"/>
      <c r="H202" s="4"/>
    </row>
    <row x14ac:dyDescent="0.25" r="203" customHeight="1" ht="18.75">
      <c r="A203" s="1"/>
      <c r="B203" s="1"/>
      <c r="C203" s="2"/>
      <c r="D203" s="2"/>
      <c r="E203" s="1"/>
      <c r="F203" s="1"/>
      <c r="G203" s="1"/>
      <c r="H203" s="4"/>
    </row>
    <row x14ac:dyDescent="0.25" r="204" customHeight="1" ht="18.75">
      <c r="A204" s="1"/>
      <c r="B204" s="1"/>
      <c r="C204" s="2"/>
      <c r="D204" s="2"/>
      <c r="E204" s="1"/>
      <c r="F204" s="1"/>
      <c r="G204" s="1"/>
      <c r="H204" s="4"/>
    </row>
    <row x14ac:dyDescent="0.25" r="205" customHeight="1" ht="18.75">
      <c r="A205" s="1"/>
      <c r="B205" s="1"/>
      <c r="C205" s="2"/>
      <c r="D205" s="2"/>
      <c r="E205" s="1"/>
      <c r="F205" s="1"/>
      <c r="G205" s="1"/>
      <c r="H205" s="4"/>
    </row>
    <row x14ac:dyDescent="0.25" r="206" customHeight="1" ht="18.75">
      <c r="A206" s="1"/>
      <c r="B206" s="1"/>
      <c r="C206" s="2"/>
      <c r="D206" s="2"/>
      <c r="E206" s="1"/>
      <c r="F206" s="1"/>
      <c r="G206" s="1"/>
      <c r="H206" s="4"/>
    </row>
    <row x14ac:dyDescent="0.25" r="207" customHeight="1" ht="18.75">
      <c r="A207" s="1"/>
      <c r="B207" s="1"/>
      <c r="C207" s="2"/>
      <c r="D207" s="2"/>
      <c r="E207" s="1"/>
      <c r="F207" s="1"/>
      <c r="G207" s="1"/>
      <c r="H207" s="4"/>
    </row>
    <row x14ac:dyDescent="0.25" r="208" customHeight="1" ht="18.75">
      <c r="A208" s="1"/>
      <c r="B208" s="1"/>
      <c r="C208" s="2"/>
      <c r="D208" s="2"/>
      <c r="E208" s="1"/>
      <c r="F208" s="1"/>
      <c r="G208" s="1"/>
      <c r="H208" s="4"/>
    </row>
    <row x14ac:dyDescent="0.25" r="209" customHeight="1" ht="18.75">
      <c r="A209" s="1"/>
      <c r="B209" s="1"/>
      <c r="C209" s="2"/>
      <c r="D209" s="2"/>
      <c r="E209" s="1"/>
      <c r="F209" s="1"/>
      <c r="G209" s="1"/>
      <c r="H209" s="4"/>
    </row>
    <row x14ac:dyDescent="0.25" r="210" customHeight="1" ht="18.75">
      <c r="A210" s="1"/>
      <c r="B210" s="1"/>
      <c r="C210" s="2"/>
      <c r="D210" s="2"/>
      <c r="E210" s="1"/>
      <c r="F210" s="1"/>
      <c r="G210" s="1"/>
      <c r="H210" s="4"/>
    </row>
    <row x14ac:dyDescent="0.25" r="211" customHeight="1" ht="18.75">
      <c r="A211" s="1"/>
      <c r="B211" s="1"/>
      <c r="C211" s="2"/>
      <c r="D211" s="2"/>
      <c r="E211" s="1"/>
      <c r="F211" s="1"/>
      <c r="G211" s="1"/>
      <c r="H211" s="4"/>
    </row>
    <row x14ac:dyDescent="0.25" r="212" customHeight="1" ht="18.75">
      <c r="A212" s="1"/>
      <c r="B212" s="1"/>
      <c r="C212" s="2"/>
      <c r="D212" s="2"/>
      <c r="E212" s="1"/>
      <c r="F212" s="1"/>
      <c r="G212" s="1"/>
      <c r="H212" s="4"/>
    </row>
    <row x14ac:dyDescent="0.25" r="213" customHeight="1" ht="18.75">
      <c r="A213" s="1"/>
      <c r="B213" s="1"/>
      <c r="C213" s="2"/>
      <c r="D213" s="2"/>
      <c r="E213" s="1"/>
      <c r="F213" s="1"/>
      <c r="G213" s="1"/>
      <c r="H213" s="4"/>
    </row>
    <row x14ac:dyDescent="0.25" r="214" customHeight="1" ht="18.75">
      <c r="A214" s="1"/>
      <c r="B214" s="1"/>
      <c r="C214" s="2"/>
      <c r="D214" s="2"/>
      <c r="E214" s="1"/>
      <c r="F214" s="1"/>
      <c r="G214" s="1"/>
      <c r="H214" s="4"/>
    </row>
    <row x14ac:dyDescent="0.25" r="215" customHeight="1" ht="18.75">
      <c r="A215" s="1"/>
      <c r="B215" s="1"/>
      <c r="C215" s="2"/>
      <c r="D215" s="2"/>
      <c r="E215" s="1"/>
      <c r="F215" s="1"/>
      <c r="G215" s="1"/>
      <c r="H215" s="4"/>
    </row>
    <row x14ac:dyDescent="0.25" r="216" customHeight="1" ht="18.75">
      <c r="A216" s="1"/>
      <c r="B216" s="1"/>
      <c r="C216" s="2"/>
      <c r="D216" s="2"/>
      <c r="E216" s="1"/>
      <c r="F216" s="1"/>
      <c r="G216" s="1"/>
      <c r="H216" s="4"/>
    </row>
    <row x14ac:dyDescent="0.25" r="217" customHeight="1" ht="18.75">
      <c r="A217" s="1"/>
      <c r="B217" s="1"/>
      <c r="C217" s="2"/>
      <c r="D217" s="2"/>
      <c r="E217" s="1"/>
      <c r="F217" s="1"/>
      <c r="G217" s="1"/>
      <c r="H217" s="4"/>
    </row>
    <row x14ac:dyDescent="0.25" r="218" customHeight="1" ht="18.75">
      <c r="A218" s="1"/>
      <c r="B218" s="1"/>
      <c r="C218" s="2"/>
      <c r="D218" s="2"/>
      <c r="E218" s="1"/>
      <c r="F218" s="1"/>
      <c r="G218" s="1"/>
      <c r="H218" s="4"/>
    </row>
    <row x14ac:dyDescent="0.25" r="219" customHeight="1" ht="18.75">
      <c r="A219" s="1"/>
      <c r="B219" s="1"/>
      <c r="C219" s="2"/>
      <c r="D219" s="2"/>
      <c r="E219" s="1"/>
      <c r="F219" s="1"/>
      <c r="G219" s="1"/>
      <c r="H219" s="4"/>
    </row>
    <row x14ac:dyDescent="0.25" r="220" customHeight="1" ht="18.75">
      <c r="A220" s="1"/>
      <c r="B220" s="1"/>
      <c r="C220" s="2"/>
      <c r="D220" s="2"/>
      <c r="E220" s="1"/>
      <c r="F220" s="1"/>
      <c r="G220" s="1"/>
      <c r="H220" s="4"/>
    </row>
    <row x14ac:dyDescent="0.25" r="221" customHeight="1" ht="18.75">
      <c r="A221" s="1"/>
      <c r="B221" s="1"/>
      <c r="C221" s="2"/>
      <c r="D221" s="2"/>
      <c r="E221" s="1"/>
      <c r="F221" s="1"/>
      <c r="G221" s="1"/>
      <c r="H221" s="4"/>
    </row>
    <row x14ac:dyDescent="0.25" r="222" customHeight="1" ht="18.75">
      <c r="A222" s="1"/>
      <c r="B222" s="1"/>
      <c r="C222" s="2"/>
      <c r="D222" s="2"/>
      <c r="E222" s="1"/>
      <c r="F222" s="1"/>
      <c r="G222" s="1"/>
      <c r="H222" s="4"/>
    </row>
    <row x14ac:dyDescent="0.25" r="223" customHeight="1" ht="18.75">
      <c r="A223" s="1"/>
      <c r="B223" s="1"/>
      <c r="C223" s="2"/>
      <c r="D223" s="2"/>
      <c r="E223" s="1"/>
      <c r="F223" s="1"/>
      <c r="G223" s="1"/>
      <c r="H223" s="4"/>
    </row>
    <row x14ac:dyDescent="0.25" r="224" customHeight="1" ht="18.75">
      <c r="A224" s="1"/>
      <c r="B224" s="1"/>
      <c r="C224" s="2"/>
      <c r="D224" s="2"/>
      <c r="E224" s="1"/>
      <c r="F224" s="1"/>
      <c r="G224" s="1"/>
      <c r="H224" s="4"/>
    </row>
    <row x14ac:dyDescent="0.25" r="225" customHeight="1" ht="18.75">
      <c r="A225" s="1"/>
      <c r="B225" s="1"/>
      <c r="C225" s="2"/>
      <c r="D225" s="2"/>
      <c r="E225" s="1"/>
      <c r="F225" s="1"/>
      <c r="G225" s="1"/>
      <c r="H225" s="4"/>
    </row>
    <row x14ac:dyDescent="0.25" r="226" customHeight="1" ht="18.75">
      <c r="A226" s="1"/>
      <c r="B226" s="1"/>
      <c r="C226" s="2"/>
      <c r="D226" s="2"/>
      <c r="E226" s="1"/>
      <c r="F226" s="1"/>
      <c r="G226" s="1"/>
      <c r="H226" s="4"/>
    </row>
    <row x14ac:dyDescent="0.25" r="227" customHeight="1" ht="18.75">
      <c r="A227" s="1"/>
      <c r="B227" s="1"/>
      <c r="C227" s="2"/>
      <c r="D227" s="2"/>
      <c r="E227" s="1"/>
      <c r="F227" s="1"/>
      <c r="G227" s="1"/>
      <c r="H227" s="4"/>
    </row>
    <row x14ac:dyDescent="0.25" r="228" customHeight="1" ht="18.75">
      <c r="A228" s="1"/>
      <c r="B228" s="1"/>
      <c r="C228" s="2"/>
      <c r="D228" s="2"/>
      <c r="E228" s="1"/>
      <c r="F228" s="1"/>
      <c r="G228" s="1"/>
      <c r="H228" s="4"/>
    </row>
    <row x14ac:dyDescent="0.25" r="229" customHeight="1" ht="18.75">
      <c r="A229" s="1"/>
      <c r="B229" s="1"/>
      <c r="C229" s="2"/>
      <c r="D229" s="2"/>
      <c r="E229" s="1"/>
      <c r="F229" s="1"/>
      <c r="G229" s="1"/>
      <c r="H229" s="4"/>
    </row>
    <row x14ac:dyDescent="0.25" r="230" customHeight="1" ht="18.75">
      <c r="A230" s="1"/>
      <c r="B230" s="1"/>
      <c r="C230" s="2"/>
      <c r="D230" s="2"/>
      <c r="E230" s="1"/>
      <c r="F230" s="1"/>
      <c r="G230" s="1"/>
      <c r="H230" s="4"/>
    </row>
    <row x14ac:dyDescent="0.25" r="231" customHeight="1" ht="18.75">
      <c r="A231" s="1"/>
      <c r="B231" s="1"/>
      <c r="C231" s="2"/>
      <c r="D231" s="2"/>
      <c r="E231" s="1"/>
      <c r="F231" s="1"/>
      <c r="G231" s="1"/>
      <c r="H231" s="4"/>
    </row>
    <row x14ac:dyDescent="0.25" r="232" customHeight="1" ht="18.75">
      <c r="A232" s="1"/>
      <c r="B232" s="1"/>
      <c r="C232" s="2"/>
      <c r="D232" s="2"/>
      <c r="E232" s="1"/>
      <c r="F232" s="1"/>
      <c r="G232" s="1"/>
      <c r="H232" s="4"/>
    </row>
    <row x14ac:dyDescent="0.25" r="233" customHeight="1" ht="18.75">
      <c r="A233" s="1"/>
      <c r="B233" s="1"/>
      <c r="C233" s="2"/>
      <c r="D233" s="2"/>
      <c r="E233" s="1"/>
      <c r="F233" s="1"/>
      <c r="G233" s="1"/>
      <c r="H233" s="4"/>
    </row>
    <row x14ac:dyDescent="0.25" r="234" customHeight="1" ht="18.75">
      <c r="A234" s="1"/>
      <c r="B234" s="1"/>
      <c r="C234" s="2"/>
      <c r="D234" s="2"/>
      <c r="E234" s="1"/>
      <c r="F234" s="1"/>
      <c r="G234" s="1"/>
      <c r="H234" s="4"/>
    </row>
    <row x14ac:dyDescent="0.25" r="235" customHeight="1" ht="18.75">
      <c r="A235" s="1"/>
      <c r="B235" s="1"/>
      <c r="C235" s="2"/>
      <c r="D235" s="2"/>
      <c r="E235" s="1"/>
      <c r="F235" s="1"/>
      <c r="G235" s="1"/>
      <c r="H235" s="4"/>
    </row>
    <row x14ac:dyDescent="0.25" r="236" customHeight="1" ht="18.75">
      <c r="A236" s="1"/>
      <c r="B236" s="1"/>
      <c r="C236" s="2"/>
      <c r="D236" s="2"/>
      <c r="E236" s="1"/>
      <c r="F236" s="1"/>
      <c r="G236" s="1"/>
      <c r="H236" s="4"/>
    </row>
    <row x14ac:dyDescent="0.25" r="237" customHeight="1" ht="18.75">
      <c r="A237" s="1"/>
      <c r="B237" s="1"/>
      <c r="C237" s="2"/>
      <c r="D237" s="2"/>
      <c r="E237" s="1"/>
      <c r="F237" s="1"/>
      <c r="G237" s="1"/>
      <c r="H237" s="4"/>
    </row>
    <row x14ac:dyDescent="0.25" r="238" customHeight="1" ht="18.75">
      <c r="A238" s="1"/>
      <c r="B238" s="1"/>
      <c r="C238" s="2"/>
      <c r="D238" s="2"/>
      <c r="E238" s="1"/>
      <c r="F238" s="1"/>
      <c r="G238" s="1"/>
      <c r="H238" s="4"/>
    </row>
    <row x14ac:dyDescent="0.25" r="239" customHeight="1" ht="18.75">
      <c r="A239" s="1"/>
      <c r="B239" s="1"/>
      <c r="C239" s="2"/>
      <c r="D239" s="2"/>
      <c r="E239" s="1"/>
      <c r="F239" s="1"/>
      <c r="G239" s="1"/>
      <c r="H239" s="4"/>
    </row>
    <row x14ac:dyDescent="0.25" r="240" customHeight="1" ht="18.75">
      <c r="A240" s="1"/>
      <c r="B240" s="1"/>
      <c r="C240" s="2"/>
      <c r="D240" s="2"/>
      <c r="E240" s="1"/>
      <c r="F240" s="1"/>
      <c r="G240" s="1"/>
      <c r="H240" s="4"/>
    </row>
    <row x14ac:dyDescent="0.25" r="241" customHeight="1" ht="18.75">
      <c r="A241" s="1"/>
      <c r="B241" s="1"/>
      <c r="C241" s="2"/>
      <c r="D241" s="2"/>
      <c r="E241" s="1"/>
      <c r="F241" s="1"/>
      <c r="G241" s="1"/>
      <c r="H241" s="4"/>
    </row>
    <row x14ac:dyDescent="0.25" r="242" customHeight="1" ht="18.75">
      <c r="A242" s="1"/>
      <c r="B242" s="1"/>
      <c r="C242" s="2"/>
      <c r="D242" s="2"/>
      <c r="E242" s="1"/>
      <c r="F242" s="1"/>
      <c r="G242" s="1"/>
      <c r="H242" s="4"/>
    </row>
    <row x14ac:dyDescent="0.25" r="243" customHeight="1" ht="18.75">
      <c r="A243" s="1"/>
      <c r="B243" s="1"/>
      <c r="C243" s="2"/>
      <c r="D243" s="2"/>
      <c r="E243" s="1"/>
      <c r="F243" s="1"/>
      <c r="G243" s="1"/>
      <c r="H243" s="4"/>
    </row>
    <row x14ac:dyDescent="0.25" r="244" customHeight="1" ht="18.75">
      <c r="A244" s="1"/>
      <c r="B244" s="1"/>
      <c r="C244" s="2"/>
      <c r="D244" s="2"/>
      <c r="E244" s="1"/>
      <c r="F244" s="1"/>
      <c r="G244" s="1"/>
      <c r="H244" s="4"/>
    </row>
    <row x14ac:dyDescent="0.25" r="245" customHeight="1" ht="18.75">
      <c r="A245" s="1"/>
      <c r="B245" s="1"/>
      <c r="C245" s="2"/>
      <c r="D245" s="2"/>
      <c r="E245" s="1"/>
      <c r="F245" s="1"/>
      <c r="G245" s="1"/>
      <c r="H245" s="4"/>
    </row>
    <row x14ac:dyDescent="0.25" r="246" customHeight="1" ht="18.75">
      <c r="A246" s="1"/>
      <c r="B246" s="1"/>
      <c r="C246" s="2"/>
      <c r="D246" s="2"/>
      <c r="E246" s="1"/>
      <c r="F246" s="1"/>
      <c r="G246" s="1"/>
      <c r="H246" s="4"/>
    </row>
    <row x14ac:dyDescent="0.25" r="247" customHeight="1" ht="18.75">
      <c r="A247" s="1"/>
      <c r="B247" s="1"/>
      <c r="C247" s="2"/>
      <c r="D247" s="2"/>
      <c r="E247" s="1"/>
      <c r="F247" s="1"/>
      <c r="G247" s="1"/>
      <c r="H247" s="4"/>
    </row>
    <row x14ac:dyDescent="0.25" r="248" customHeight="1" ht="18.75">
      <c r="A248" s="1"/>
      <c r="B248" s="1"/>
      <c r="C248" s="2"/>
      <c r="D248" s="2"/>
      <c r="E248" s="1"/>
      <c r="F248" s="1"/>
      <c r="G248" s="1"/>
      <c r="H248" s="4"/>
    </row>
    <row x14ac:dyDescent="0.25" r="249" customHeight="1" ht="18.75">
      <c r="A249" s="1"/>
      <c r="B249" s="1"/>
      <c r="C249" s="2"/>
      <c r="D249" s="2"/>
      <c r="E249" s="1"/>
      <c r="F249" s="1"/>
      <c r="G249" s="1"/>
      <c r="H249" s="4"/>
    </row>
    <row x14ac:dyDescent="0.25" r="250" customHeight="1" ht="18.75">
      <c r="A250" s="1"/>
      <c r="B250" s="1"/>
      <c r="C250" s="2"/>
      <c r="D250" s="2"/>
      <c r="E250" s="1"/>
      <c r="F250" s="1"/>
      <c r="G250" s="1"/>
      <c r="H250" s="4"/>
    </row>
    <row x14ac:dyDescent="0.25" r="251" customHeight="1" ht="18.75">
      <c r="A251" s="1"/>
      <c r="B251" s="1"/>
      <c r="C251" s="2"/>
      <c r="D251" s="2"/>
      <c r="E251" s="1"/>
      <c r="F251" s="1"/>
      <c r="G251" s="1"/>
      <c r="H251" s="4"/>
    </row>
    <row x14ac:dyDescent="0.25" r="252" customHeight="1" ht="18.75">
      <c r="A252" s="1"/>
      <c r="B252" s="1"/>
      <c r="C252" s="2"/>
      <c r="D252" s="2"/>
      <c r="E252" s="1"/>
      <c r="F252" s="1"/>
      <c r="G252" s="1"/>
      <c r="H252" s="4"/>
    </row>
    <row x14ac:dyDescent="0.25" r="253" customHeight="1" ht="18.75">
      <c r="A253" s="1"/>
      <c r="B253" s="1"/>
      <c r="C253" s="2"/>
      <c r="D253" s="2"/>
      <c r="E253" s="1"/>
      <c r="F253" s="1"/>
      <c r="G253" s="1"/>
      <c r="H253" s="4"/>
    </row>
    <row x14ac:dyDescent="0.25" r="254" customHeight="1" ht="18.75">
      <c r="A254" s="1"/>
      <c r="B254" s="1"/>
      <c r="C254" s="2"/>
      <c r="D254" s="2"/>
      <c r="E254" s="1"/>
      <c r="F254" s="1"/>
      <c r="G254" s="1"/>
      <c r="H254" s="4"/>
    </row>
    <row x14ac:dyDescent="0.25" r="255" customHeight="1" ht="18.75">
      <c r="A255" s="1"/>
      <c r="B255" s="1"/>
      <c r="C255" s="2"/>
      <c r="D255" s="2"/>
      <c r="E255" s="1"/>
      <c r="F255" s="1"/>
      <c r="G255" s="1"/>
      <c r="H255" s="4"/>
    </row>
    <row x14ac:dyDescent="0.25" r="256" customHeight="1" ht="18.75">
      <c r="A256" s="1"/>
      <c r="B256" s="1"/>
      <c r="C256" s="2"/>
      <c r="D256" s="2"/>
      <c r="E256" s="1"/>
      <c r="F256" s="1"/>
      <c r="G256" s="1"/>
      <c r="H256" s="4"/>
    </row>
    <row x14ac:dyDescent="0.25" r="257" customHeight="1" ht="18.75">
      <c r="A257" s="1"/>
      <c r="B257" s="1"/>
      <c r="C257" s="2"/>
      <c r="D257" s="2"/>
      <c r="E257" s="1"/>
      <c r="F257" s="1"/>
      <c r="G257" s="1"/>
      <c r="H257" s="4"/>
    </row>
    <row x14ac:dyDescent="0.25" r="258" customHeight="1" ht="18.75">
      <c r="A258" s="1"/>
      <c r="B258" s="1"/>
      <c r="C258" s="2"/>
      <c r="D258" s="2"/>
      <c r="E258" s="1"/>
      <c r="F258" s="1"/>
      <c r="G258" s="1"/>
      <c r="H258" s="4"/>
    </row>
    <row x14ac:dyDescent="0.25" r="259" customHeight="1" ht="18.75">
      <c r="A259" s="1"/>
      <c r="B259" s="1"/>
      <c r="C259" s="2"/>
      <c r="D259" s="2"/>
      <c r="E259" s="1"/>
      <c r="F259" s="1"/>
      <c r="G259" s="1"/>
      <c r="H259" s="4"/>
    </row>
    <row x14ac:dyDescent="0.25" r="260" customHeight="1" ht="18.75">
      <c r="A260" s="1"/>
      <c r="B260" s="1"/>
      <c r="C260" s="2"/>
      <c r="D260" s="2"/>
      <c r="E260" s="1"/>
      <c r="F260" s="1"/>
      <c r="G260" s="1"/>
      <c r="H260" s="4"/>
    </row>
    <row x14ac:dyDescent="0.25" r="261" customHeight="1" ht="18.75">
      <c r="A261" s="1"/>
      <c r="B261" s="1"/>
      <c r="C261" s="2"/>
      <c r="D261" s="2"/>
      <c r="E261" s="1"/>
      <c r="F261" s="1"/>
      <c r="G261" s="1"/>
      <c r="H261" s="4"/>
    </row>
    <row x14ac:dyDescent="0.25" r="262" customHeight="1" ht="18.75">
      <c r="A262" s="1"/>
      <c r="B262" s="1"/>
      <c r="C262" s="2"/>
      <c r="D262" s="2"/>
      <c r="E262" s="1"/>
      <c r="F262" s="1"/>
      <c r="G262" s="1"/>
      <c r="H262" s="4"/>
    </row>
    <row x14ac:dyDescent="0.25" r="263" customHeight="1" ht="18.75">
      <c r="A263" s="1"/>
      <c r="B263" s="1"/>
      <c r="C263" s="2"/>
      <c r="D263" s="2"/>
      <c r="E263" s="1"/>
      <c r="F263" s="1"/>
      <c r="G263" s="1"/>
      <c r="H263" s="4"/>
    </row>
    <row x14ac:dyDescent="0.25" r="264" customHeight="1" ht="18.75">
      <c r="A264" s="1"/>
      <c r="B264" s="1"/>
      <c r="C264" s="2"/>
      <c r="D264" s="2"/>
      <c r="E264" s="1"/>
      <c r="F264" s="1"/>
      <c r="G264" s="1"/>
      <c r="H264" s="4"/>
    </row>
    <row x14ac:dyDescent="0.25" r="265" customHeight="1" ht="18.75">
      <c r="A265" s="1"/>
      <c r="B265" s="1"/>
      <c r="C265" s="2"/>
      <c r="D265" s="2"/>
      <c r="E265" s="1"/>
      <c r="F265" s="1"/>
      <c r="G265" s="1"/>
      <c r="H265" s="4"/>
    </row>
    <row x14ac:dyDescent="0.25" r="266" customHeight="1" ht="18.75">
      <c r="A266" s="1"/>
      <c r="B266" s="1"/>
      <c r="C266" s="2"/>
      <c r="D266" s="2"/>
      <c r="E266" s="1"/>
      <c r="F266" s="1"/>
      <c r="G266" s="1"/>
      <c r="H266" s="4"/>
    </row>
    <row x14ac:dyDescent="0.25" r="267" customHeight="1" ht="18.75">
      <c r="A267" s="1"/>
      <c r="B267" s="1"/>
      <c r="C267" s="2"/>
      <c r="D267" s="2"/>
      <c r="E267" s="1"/>
      <c r="F267" s="1"/>
      <c r="G267" s="1"/>
      <c r="H267" s="4"/>
    </row>
    <row x14ac:dyDescent="0.25" r="268" customHeight="1" ht="18.75">
      <c r="A268" s="1"/>
      <c r="B268" s="1"/>
      <c r="C268" s="2"/>
      <c r="D268" s="2"/>
      <c r="E268" s="1"/>
      <c r="F268" s="1"/>
      <c r="G268" s="1"/>
      <c r="H268" s="4"/>
    </row>
    <row x14ac:dyDescent="0.25" r="269" customHeight="1" ht="18.75">
      <c r="A269" s="1"/>
      <c r="B269" s="1"/>
      <c r="C269" s="2"/>
      <c r="D269" s="2"/>
      <c r="E269" s="1"/>
      <c r="F269" s="1"/>
      <c r="G269" s="1"/>
      <c r="H269" s="4"/>
    </row>
    <row x14ac:dyDescent="0.25" r="270" customHeight="1" ht="18.75">
      <c r="A270" s="1"/>
      <c r="B270" s="1"/>
      <c r="C270" s="2"/>
      <c r="D270" s="2"/>
      <c r="E270" s="1"/>
      <c r="F270" s="1"/>
      <c r="G270" s="1"/>
      <c r="H270" s="4"/>
    </row>
    <row x14ac:dyDescent="0.25" r="271" customHeight="1" ht="18.75">
      <c r="A271" s="1"/>
      <c r="B271" s="1"/>
      <c r="C271" s="2"/>
      <c r="D271" s="2"/>
      <c r="E271" s="1"/>
      <c r="F271" s="1"/>
      <c r="G271" s="1"/>
      <c r="H271" s="4"/>
    </row>
    <row x14ac:dyDescent="0.25" r="272" customHeight="1" ht="18.75">
      <c r="A272" s="1"/>
      <c r="B272" s="1"/>
      <c r="C272" s="2"/>
      <c r="D272" s="2"/>
      <c r="E272" s="1"/>
      <c r="F272" s="1"/>
      <c r="G272" s="1"/>
      <c r="H272" s="4"/>
    </row>
    <row x14ac:dyDescent="0.25" r="273" customHeight="1" ht="18.75">
      <c r="A273" s="1"/>
      <c r="B273" s="1"/>
      <c r="C273" s="2"/>
      <c r="D273" s="2"/>
      <c r="E273" s="1"/>
      <c r="F273" s="1"/>
      <c r="G273" s="1"/>
      <c r="H273" s="4"/>
    </row>
    <row x14ac:dyDescent="0.25" r="274" customHeight="1" ht="18.75">
      <c r="A274" s="1"/>
      <c r="B274" s="1"/>
      <c r="C274" s="2"/>
      <c r="D274" s="2"/>
      <c r="E274" s="1"/>
      <c r="F274" s="1"/>
      <c r="G274" s="1"/>
      <c r="H274" s="4"/>
    </row>
    <row x14ac:dyDescent="0.25" r="275" customHeight="1" ht="18.75">
      <c r="A275" s="1"/>
      <c r="B275" s="1"/>
      <c r="C275" s="2"/>
      <c r="D275" s="2"/>
      <c r="E275" s="1"/>
      <c r="F275" s="1"/>
      <c r="G275" s="1"/>
      <c r="H275" s="4"/>
    </row>
    <row x14ac:dyDescent="0.25" r="276" customHeight="1" ht="18.75">
      <c r="A276" s="1"/>
      <c r="B276" s="1"/>
      <c r="C276" s="2"/>
      <c r="D276" s="2"/>
      <c r="E276" s="1"/>
      <c r="F276" s="1"/>
      <c r="G276" s="1"/>
      <c r="H276" s="4"/>
    </row>
    <row x14ac:dyDescent="0.25" r="277" customHeight="1" ht="18.75">
      <c r="A277" s="1"/>
      <c r="B277" s="1"/>
      <c r="C277" s="2"/>
      <c r="D277" s="2"/>
      <c r="E277" s="1"/>
      <c r="F277" s="1"/>
      <c r="G277" s="1"/>
      <c r="H277" s="4"/>
    </row>
    <row x14ac:dyDescent="0.25" r="278" customHeight="1" ht="18.75">
      <c r="A278" s="1"/>
      <c r="B278" s="1"/>
      <c r="C278" s="2"/>
      <c r="D278" s="2"/>
      <c r="E278" s="1"/>
      <c r="F278" s="1"/>
      <c r="G278" s="1"/>
      <c r="H278" s="4"/>
    </row>
    <row x14ac:dyDescent="0.25" r="279" customHeight="1" ht="18.75">
      <c r="A279" s="1"/>
      <c r="B279" s="1"/>
      <c r="C279" s="2"/>
      <c r="D279" s="2"/>
      <c r="E279" s="1"/>
      <c r="F279" s="1"/>
      <c r="G279" s="1"/>
      <c r="H279" s="4"/>
    </row>
    <row x14ac:dyDescent="0.25" r="280" customHeight="1" ht="18.75">
      <c r="A280" s="1"/>
      <c r="B280" s="1"/>
      <c r="C280" s="2"/>
      <c r="D280" s="2"/>
      <c r="E280" s="1"/>
      <c r="F280" s="1"/>
      <c r="G280" s="1"/>
      <c r="H280" s="4"/>
    </row>
    <row x14ac:dyDescent="0.25" r="281" customHeight="1" ht="18.75">
      <c r="A281" s="1"/>
      <c r="B281" s="1"/>
      <c r="C281" s="2"/>
      <c r="D281" s="2"/>
      <c r="E281" s="1"/>
      <c r="F281" s="1"/>
      <c r="G281" s="1"/>
      <c r="H281" s="4"/>
    </row>
    <row x14ac:dyDescent="0.25" r="282" customHeight="1" ht="18.75">
      <c r="A282" s="1"/>
      <c r="B282" s="1"/>
      <c r="C282" s="2"/>
      <c r="D282" s="2"/>
      <c r="E282" s="1"/>
      <c r="F282" s="1"/>
      <c r="G282" s="1"/>
      <c r="H282" s="4"/>
    </row>
    <row x14ac:dyDescent="0.25" r="283" customHeight="1" ht="18.75">
      <c r="A283" s="1"/>
      <c r="B283" s="1"/>
      <c r="C283" s="2"/>
      <c r="D283" s="2"/>
      <c r="E283" s="1"/>
      <c r="F283" s="1"/>
      <c r="G283" s="1"/>
      <c r="H283" s="4"/>
    </row>
    <row x14ac:dyDescent="0.25" r="284" customHeight="1" ht="18.75">
      <c r="A284" s="1"/>
      <c r="B284" s="1"/>
      <c r="C284" s="2"/>
      <c r="D284" s="2"/>
      <c r="E284" s="1"/>
      <c r="F284" s="1"/>
      <c r="G284" s="1"/>
      <c r="H284" s="4"/>
    </row>
    <row x14ac:dyDescent="0.25" r="285" customHeight="1" ht="18.75">
      <c r="A285" s="1"/>
      <c r="B285" s="1"/>
      <c r="C285" s="2"/>
      <c r="D285" s="2"/>
      <c r="E285" s="1"/>
      <c r="F285" s="1"/>
      <c r="G285" s="1"/>
      <c r="H285" s="4"/>
    </row>
    <row x14ac:dyDescent="0.25" r="286" customHeight="1" ht="18.75">
      <c r="A286" s="1"/>
      <c r="B286" s="1"/>
      <c r="C286" s="2"/>
      <c r="D286" s="2"/>
      <c r="E286" s="1"/>
      <c r="F286" s="1"/>
      <c r="G286" s="1"/>
      <c r="H286" s="4"/>
    </row>
    <row x14ac:dyDescent="0.25" r="287" customHeight="1" ht="18.75">
      <c r="A287" s="1"/>
      <c r="B287" s="1"/>
      <c r="C287" s="2"/>
      <c r="D287" s="2"/>
      <c r="E287" s="1"/>
      <c r="F287" s="1"/>
      <c r="G287" s="1"/>
      <c r="H287" s="4"/>
    </row>
    <row x14ac:dyDescent="0.25" r="288" customHeight="1" ht="18.75">
      <c r="A288" s="1"/>
      <c r="B288" s="1"/>
      <c r="C288" s="2"/>
      <c r="D288" s="2"/>
      <c r="E288" s="1"/>
      <c r="F288" s="1"/>
      <c r="G288" s="1"/>
      <c r="H288" s="4"/>
    </row>
    <row x14ac:dyDescent="0.25" r="289" customHeight="1" ht="18.75">
      <c r="A289" s="1"/>
      <c r="B289" s="1"/>
      <c r="C289" s="2"/>
      <c r="D289" s="2"/>
      <c r="E289" s="1"/>
      <c r="F289" s="1"/>
      <c r="G289" s="1"/>
      <c r="H289" s="4"/>
    </row>
    <row x14ac:dyDescent="0.25" r="290" customHeight="1" ht="18.75">
      <c r="A290" s="1"/>
      <c r="B290" s="1"/>
      <c r="C290" s="2"/>
      <c r="D290" s="2"/>
      <c r="E290" s="1"/>
      <c r="F290" s="1"/>
      <c r="G290" s="1"/>
      <c r="H290" s="4"/>
    </row>
    <row x14ac:dyDescent="0.25" r="291" customHeight="1" ht="18.75">
      <c r="A291" s="1"/>
      <c r="B291" s="1"/>
      <c r="C291" s="2"/>
      <c r="D291" s="2"/>
      <c r="E291" s="1"/>
      <c r="F291" s="1"/>
      <c r="G291" s="1"/>
      <c r="H291" s="4"/>
    </row>
    <row x14ac:dyDescent="0.25" r="292" customHeight="1" ht="18.75">
      <c r="A292" s="1"/>
      <c r="B292" s="1"/>
      <c r="C292" s="2"/>
      <c r="D292" s="2"/>
      <c r="E292" s="1"/>
      <c r="F292" s="1"/>
      <c r="G292" s="1"/>
      <c r="H292" s="4"/>
    </row>
    <row x14ac:dyDescent="0.25" r="293" customHeight="1" ht="18.75">
      <c r="A293" s="1"/>
      <c r="B293" s="1"/>
      <c r="C293" s="2"/>
      <c r="D293" s="2"/>
      <c r="E293" s="1"/>
      <c r="F293" s="1"/>
      <c r="G293" s="1"/>
      <c r="H293" s="4"/>
    </row>
    <row x14ac:dyDescent="0.25" r="294" customHeight="1" ht="18.75">
      <c r="A294" s="1"/>
      <c r="B294" s="1"/>
      <c r="C294" s="2"/>
      <c r="D294" s="2"/>
      <c r="E294" s="1"/>
      <c r="F294" s="1"/>
      <c r="G294" s="1"/>
      <c r="H294" s="4"/>
    </row>
    <row x14ac:dyDescent="0.25" r="295" customHeight="1" ht="18.75">
      <c r="A295" s="1"/>
      <c r="B295" s="1"/>
      <c r="C295" s="2"/>
      <c r="D295" s="2"/>
      <c r="E295" s="1"/>
      <c r="F295" s="1"/>
      <c r="G295" s="1"/>
      <c r="H295" s="4"/>
    </row>
    <row x14ac:dyDescent="0.25" r="296" customHeight="1" ht="18.75">
      <c r="A296" s="1"/>
      <c r="B296" s="1"/>
      <c r="C296" s="2"/>
      <c r="D296" s="2"/>
      <c r="E296" s="1"/>
      <c r="F296" s="1"/>
      <c r="G296" s="1"/>
      <c r="H296" s="4"/>
    </row>
    <row x14ac:dyDescent="0.25" r="297" customHeight="1" ht="18.75">
      <c r="A297" s="1"/>
      <c r="B297" s="1"/>
      <c r="C297" s="2"/>
      <c r="D297" s="2"/>
      <c r="E297" s="1"/>
      <c r="F297" s="1"/>
      <c r="G297" s="1"/>
      <c r="H297" s="4"/>
    </row>
    <row x14ac:dyDescent="0.25" r="298" customHeight="1" ht="18.75">
      <c r="A298" s="1"/>
      <c r="B298" s="1"/>
      <c r="C298" s="2"/>
      <c r="D298" s="2"/>
      <c r="E298" s="1"/>
      <c r="F298" s="1"/>
      <c r="G298" s="1"/>
      <c r="H298" s="4"/>
    </row>
    <row x14ac:dyDescent="0.25" r="299" customHeight="1" ht="18.75">
      <c r="A299" s="1"/>
      <c r="B299" s="1"/>
      <c r="C299" s="2"/>
      <c r="D299" s="2"/>
      <c r="E299" s="1"/>
      <c r="F299" s="1"/>
      <c r="G299" s="1"/>
      <c r="H299" s="4"/>
    </row>
    <row x14ac:dyDescent="0.25" r="300" customHeight="1" ht="18.75">
      <c r="A300" s="1"/>
      <c r="B300" s="1"/>
      <c r="C300" s="2"/>
      <c r="D300" s="2"/>
      <c r="E300" s="1"/>
      <c r="F300" s="1"/>
      <c r="G300" s="1"/>
      <c r="H300" s="4"/>
    </row>
    <row x14ac:dyDescent="0.25" r="301" customHeight="1" ht="18.75">
      <c r="A301" s="1"/>
      <c r="B301" s="1"/>
      <c r="C301" s="2"/>
      <c r="D301" s="2"/>
      <c r="E301" s="1"/>
      <c r="F301" s="1"/>
      <c r="G301" s="1"/>
      <c r="H301" s="4"/>
    </row>
    <row x14ac:dyDescent="0.25" r="302" customHeight="1" ht="18.75">
      <c r="A302" s="1"/>
      <c r="B302" s="1"/>
      <c r="C302" s="2"/>
      <c r="D302" s="2"/>
      <c r="E302" s="1"/>
      <c r="F302" s="1"/>
      <c r="G302" s="1"/>
      <c r="H302" s="4"/>
    </row>
    <row x14ac:dyDescent="0.25" r="303" customHeight="1" ht="18.75">
      <c r="A303" s="1"/>
      <c r="B303" s="1"/>
      <c r="C303" s="2"/>
      <c r="D303" s="2"/>
      <c r="E303" s="1"/>
      <c r="F303" s="1"/>
      <c r="G303" s="1"/>
      <c r="H303" s="4"/>
    </row>
    <row x14ac:dyDescent="0.25" r="304" customHeight="1" ht="18.75">
      <c r="A304" s="1"/>
      <c r="B304" s="1"/>
      <c r="C304" s="2"/>
      <c r="D304" s="2"/>
      <c r="E304" s="1"/>
      <c r="F304" s="1"/>
      <c r="G304" s="1"/>
      <c r="H304" s="4"/>
    </row>
    <row x14ac:dyDescent="0.25" r="305" customHeight="1" ht="18.75">
      <c r="A305" s="1"/>
      <c r="B305" s="1"/>
      <c r="C305" s="2"/>
      <c r="D305" s="2"/>
      <c r="E305" s="1"/>
      <c r="F305" s="1"/>
      <c r="G305" s="1"/>
      <c r="H305" s="4"/>
    </row>
    <row x14ac:dyDescent="0.25" r="306" customHeight="1" ht="18.75">
      <c r="A306" s="1"/>
      <c r="B306" s="1"/>
      <c r="C306" s="2"/>
      <c r="D306" s="2"/>
      <c r="E306" s="1"/>
      <c r="F306" s="1"/>
      <c r="G306" s="1"/>
      <c r="H306" s="4"/>
    </row>
    <row x14ac:dyDescent="0.25" r="307" customHeight="1" ht="18.75">
      <c r="A307" s="1"/>
      <c r="B307" s="1"/>
      <c r="C307" s="2"/>
      <c r="D307" s="2"/>
      <c r="E307" s="1"/>
      <c r="F307" s="1"/>
      <c r="G307" s="1"/>
      <c r="H307" s="4"/>
    </row>
    <row x14ac:dyDescent="0.25" r="308" customHeight="1" ht="18.75">
      <c r="A308" s="1"/>
      <c r="B308" s="1"/>
      <c r="C308" s="2"/>
      <c r="D308" s="2"/>
      <c r="E308" s="1"/>
      <c r="F308" s="1"/>
      <c r="G308" s="1"/>
      <c r="H308" s="4"/>
    </row>
    <row x14ac:dyDescent="0.25" r="309" customHeight="1" ht="18.75">
      <c r="A309" s="1"/>
      <c r="B309" s="1"/>
      <c r="C309" s="2"/>
      <c r="D309" s="2"/>
      <c r="E309" s="1"/>
      <c r="F309" s="1"/>
      <c r="G309" s="1"/>
      <c r="H309" s="4"/>
    </row>
    <row x14ac:dyDescent="0.25" r="310" customHeight="1" ht="18.75">
      <c r="A310" s="1"/>
      <c r="B310" s="1"/>
      <c r="C310" s="2"/>
      <c r="D310" s="2"/>
      <c r="E310" s="1"/>
      <c r="F310" s="1"/>
      <c r="G310" s="1"/>
      <c r="H310" s="4"/>
    </row>
    <row x14ac:dyDescent="0.25" r="311" customHeight="1" ht="18.75">
      <c r="A311" s="1"/>
      <c r="B311" s="1"/>
      <c r="C311" s="2"/>
      <c r="D311" s="2"/>
      <c r="E311" s="1"/>
      <c r="F311" s="1"/>
      <c r="G311" s="1"/>
      <c r="H311" s="4"/>
    </row>
    <row x14ac:dyDescent="0.25" r="312" customHeight="1" ht="18.75">
      <c r="A312" s="1"/>
      <c r="B312" s="1"/>
      <c r="C312" s="2"/>
      <c r="D312" s="2"/>
      <c r="E312" s="1"/>
      <c r="F312" s="1"/>
      <c r="G312" s="1"/>
      <c r="H312" s="4"/>
    </row>
    <row x14ac:dyDescent="0.25" r="313" customHeight="1" ht="18.75">
      <c r="A313" s="1"/>
      <c r="B313" s="1"/>
      <c r="C313" s="2"/>
      <c r="D313" s="2"/>
      <c r="E313" s="1"/>
      <c r="F313" s="1"/>
      <c r="G313" s="1"/>
      <c r="H313" s="4"/>
    </row>
    <row x14ac:dyDescent="0.25" r="314" customHeight="1" ht="18.75">
      <c r="A314" s="1"/>
      <c r="B314" s="1"/>
      <c r="C314" s="2"/>
      <c r="D314" s="2"/>
      <c r="E314" s="1"/>
      <c r="F314" s="1"/>
      <c r="G314" s="1"/>
      <c r="H314" s="4"/>
    </row>
    <row x14ac:dyDescent="0.25" r="315" customHeight="1" ht="18.75">
      <c r="A315" s="1"/>
      <c r="B315" s="1"/>
      <c r="C315" s="2"/>
      <c r="D315" s="2"/>
      <c r="E315" s="1"/>
      <c r="F315" s="1"/>
      <c r="G315" s="1"/>
      <c r="H315" s="4"/>
    </row>
    <row x14ac:dyDescent="0.25" r="316" customHeight="1" ht="18.75">
      <c r="A316" s="1"/>
      <c r="B316" s="1"/>
      <c r="C316" s="2"/>
      <c r="D316" s="2"/>
      <c r="E316" s="1"/>
      <c r="F316" s="1"/>
      <c r="G316" s="1"/>
      <c r="H316" s="4"/>
    </row>
    <row x14ac:dyDescent="0.25" r="317" customHeight="1" ht="18.75">
      <c r="A317" s="1"/>
      <c r="B317" s="1"/>
      <c r="C317" s="2"/>
      <c r="D317" s="2"/>
      <c r="E317" s="1"/>
      <c r="F317" s="1"/>
      <c r="G317" s="1"/>
      <c r="H317" s="4"/>
    </row>
    <row x14ac:dyDescent="0.25" r="318" customHeight="1" ht="18.75">
      <c r="A318" s="1"/>
      <c r="B318" s="1"/>
      <c r="C318" s="2"/>
      <c r="D318" s="2"/>
      <c r="E318" s="1"/>
      <c r="F318" s="1"/>
      <c r="G318" s="1"/>
      <c r="H318" s="4"/>
    </row>
    <row x14ac:dyDescent="0.25" r="319" customHeight="1" ht="18.75">
      <c r="A319" s="1"/>
      <c r="B319" s="1"/>
      <c r="C319" s="2"/>
      <c r="D319" s="2"/>
      <c r="E319" s="1"/>
      <c r="F319" s="1"/>
      <c r="G319" s="1"/>
      <c r="H319" s="4"/>
    </row>
    <row x14ac:dyDescent="0.25" r="320" customHeight="1" ht="18.75">
      <c r="A320" s="1"/>
      <c r="B320" s="1"/>
      <c r="C320" s="2"/>
      <c r="D320" s="2"/>
      <c r="E320" s="1"/>
      <c r="F320" s="1"/>
      <c r="G320" s="1"/>
      <c r="H320" s="4"/>
    </row>
    <row x14ac:dyDescent="0.25" r="321" customHeight="1" ht="18.75">
      <c r="A321" s="1"/>
      <c r="B321" s="1"/>
      <c r="C321" s="2"/>
      <c r="D321" s="2"/>
      <c r="E321" s="1"/>
      <c r="F321" s="1"/>
      <c r="G321" s="1"/>
      <c r="H321" s="4"/>
    </row>
    <row x14ac:dyDescent="0.25" r="322" customHeight="1" ht="18.75">
      <c r="A322" s="1"/>
      <c r="B322" s="1"/>
      <c r="C322" s="2"/>
      <c r="D322" s="2"/>
      <c r="E322" s="1"/>
      <c r="F322" s="1"/>
      <c r="G322" s="1"/>
      <c r="H322" s="4"/>
    </row>
    <row x14ac:dyDescent="0.25" r="323" customHeight="1" ht="18.75">
      <c r="A323" s="1"/>
      <c r="B323" s="1"/>
      <c r="C323" s="2"/>
      <c r="D323" s="2"/>
      <c r="E323" s="1"/>
      <c r="F323" s="1"/>
      <c r="G323" s="1"/>
      <c r="H323" s="4"/>
    </row>
    <row x14ac:dyDescent="0.25" r="324" customHeight="1" ht="18.75">
      <c r="A324" s="1"/>
      <c r="B324" s="1"/>
      <c r="C324" s="2"/>
      <c r="D324" s="2"/>
      <c r="E324" s="1"/>
      <c r="F324" s="1"/>
      <c r="G324" s="1"/>
      <c r="H324" s="4"/>
    </row>
    <row x14ac:dyDescent="0.25" r="325" customHeight="1" ht="18.75">
      <c r="A325" s="1"/>
      <c r="B325" s="1"/>
      <c r="C325" s="2"/>
      <c r="D325" s="2"/>
      <c r="E325" s="1"/>
      <c r="F325" s="1"/>
      <c r="G325" s="1"/>
      <c r="H325" s="4"/>
    </row>
    <row x14ac:dyDescent="0.25" r="326" customHeight="1" ht="18.75">
      <c r="A326" s="1"/>
      <c r="B326" s="1"/>
      <c r="C326" s="2"/>
      <c r="D326" s="2"/>
      <c r="E326" s="1"/>
      <c r="F326" s="1"/>
      <c r="G326" s="1"/>
      <c r="H326" s="4"/>
    </row>
    <row x14ac:dyDescent="0.25" r="327" customHeight="1" ht="18.75">
      <c r="A327" s="1"/>
      <c r="B327" s="1"/>
      <c r="C327" s="2"/>
      <c r="D327" s="2"/>
      <c r="E327" s="1"/>
      <c r="F327" s="1"/>
      <c r="G327" s="1"/>
      <c r="H327" s="4"/>
    </row>
    <row x14ac:dyDescent="0.25" r="328" customHeight="1" ht="18.75">
      <c r="A328" s="1"/>
      <c r="B328" s="1"/>
      <c r="C328" s="2"/>
      <c r="D328" s="2"/>
      <c r="E328" s="1"/>
      <c r="F328" s="1"/>
      <c r="G328" s="1"/>
      <c r="H328" s="4"/>
    </row>
    <row x14ac:dyDescent="0.25" r="329" customHeight="1" ht="18.75">
      <c r="A329" s="1"/>
      <c r="B329" s="1"/>
      <c r="C329" s="2"/>
      <c r="D329" s="2"/>
      <c r="E329" s="1"/>
      <c r="F329" s="1"/>
      <c r="G329" s="1"/>
      <c r="H329" s="4"/>
    </row>
    <row x14ac:dyDescent="0.25" r="330" customHeight="1" ht="18.75">
      <c r="A330" s="1"/>
      <c r="B330" s="1"/>
      <c r="C330" s="2"/>
      <c r="D330" s="2"/>
      <c r="E330" s="1"/>
      <c r="F330" s="1"/>
      <c r="G330" s="1"/>
      <c r="H330" s="4"/>
    </row>
    <row x14ac:dyDescent="0.25" r="331" customHeight="1" ht="18.75">
      <c r="A331" s="1"/>
      <c r="B331" s="1"/>
      <c r="C331" s="2"/>
      <c r="D331" s="2"/>
      <c r="E331" s="1"/>
      <c r="F331" s="1"/>
      <c r="G331" s="1"/>
      <c r="H331" s="4"/>
    </row>
    <row x14ac:dyDescent="0.25" r="332" customHeight="1" ht="18.75">
      <c r="A332" s="1"/>
      <c r="B332" s="1"/>
      <c r="C332" s="2"/>
      <c r="D332" s="2"/>
      <c r="E332" s="1"/>
      <c r="F332" s="1"/>
      <c r="G332" s="1"/>
      <c r="H332" s="4"/>
    </row>
    <row x14ac:dyDescent="0.25" r="333" customHeight="1" ht="18.75">
      <c r="A333" s="1"/>
      <c r="B333" s="1"/>
      <c r="C333" s="2"/>
      <c r="D333" s="2"/>
      <c r="E333" s="1"/>
      <c r="F333" s="1"/>
      <c r="G333" s="1"/>
      <c r="H333" s="4"/>
    </row>
    <row x14ac:dyDescent="0.25" r="334" customHeight="1" ht="18.75">
      <c r="A334" s="1"/>
      <c r="B334" s="1"/>
      <c r="C334" s="2"/>
      <c r="D334" s="2"/>
      <c r="E334" s="1"/>
      <c r="F334" s="1"/>
      <c r="G334" s="1"/>
      <c r="H334" s="4"/>
    </row>
    <row x14ac:dyDescent="0.25" r="335" customHeight="1" ht="18.75">
      <c r="A335" s="1"/>
      <c r="B335" s="1"/>
      <c r="C335" s="2"/>
      <c r="D335" s="2"/>
      <c r="E335" s="1"/>
      <c r="F335" s="1"/>
      <c r="G335" s="1"/>
      <c r="H335" s="4"/>
    </row>
    <row x14ac:dyDescent="0.25" r="336" customHeight="1" ht="18.75">
      <c r="A336" s="1"/>
      <c r="B336" s="1"/>
      <c r="C336" s="2"/>
      <c r="D336" s="2"/>
      <c r="E336" s="1"/>
      <c r="F336" s="1"/>
      <c r="G336" s="1"/>
      <c r="H336" s="4"/>
    </row>
    <row x14ac:dyDescent="0.25" r="337" customHeight="1" ht="18.75">
      <c r="A337" s="1"/>
      <c r="B337" s="1"/>
      <c r="C337" s="2"/>
      <c r="D337" s="2"/>
      <c r="E337" s="1"/>
      <c r="F337" s="1"/>
      <c r="G337" s="1"/>
      <c r="H337" s="4"/>
    </row>
    <row x14ac:dyDescent="0.25" r="338" customHeight="1" ht="18.75">
      <c r="A338" s="1"/>
      <c r="B338" s="1"/>
      <c r="C338" s="2"/>
      <c r="D338" s="2"/>
      <c r="E338" s="1"/>
      <c r="F338" s="1"/>
      <c r="G338" s="1"/>
      <c r="H338" s="4"/>
    </row>
    <row x14ac:dyDescent="0.25" r="339" customHeight="1" ht="18.75">
      <c r="A339" s="1"/>
      <c r="B339" s="1"/>
      <c r="C339" s="2"/>
      <c r="D339" s="2"/>
      <c r="E339" s="1"/>
      <c r="F339" s="1"/>
      <c r="G339" s="1"/>
      <c r="H339" s="4"/>
    </row>
    <row x14ac:dyDescent="0.25" r="340" customHeight="1" ht="18.75">
      <c r="A340" s="1"/>
      <c r="B340" s="1"/>
      <c r="C340" s="2"/>
      <c r="D340" s="2"/>
      <c r="E340" s="1"/>
      <c r="F340" s="1"/>
      <c r="G340" s="1"/>
      <c r="H340" s="4"/>
    </row>
    <row x14ac:dyDescent="0.25" r="341" customHeight="1" ht="18.75">
      <c r="A341" s="1"/>
      <c r="B341" s="1"/>
      <c r="C341" s="2"/>
      <c r="D341" s="2"/>
      <c r="E341" s="1"/>
      <c r="F341" s="1"/>
      <c r="G341" s="1"/>
      <c r="H341" s="4"/>
    </row>
    <row x14ac:dyDescent="0.25" r="342" customHeight="1" ht="18.75">
      <c r="A342" s="1"/>
      <c r="B342" s="1"/>
      <c r="C342" s="2"/>
      <c r="D342" s="2"/>
      <c r="E342" s="1"/>
      <c r="F342" s="1"/>
      <c r="G342" s="1"/>
      <c r="H342" s="4"/>
    </row>
    <row x14ac:dyDescent="0.25" r="343" customHeight="1" ht="18.75">
      <c r="A343" s="1"/>
      <c r="B343" s="1"/>
      <c r="C343" s="2"/>
      <c r="D343" s="2"/>
      <c r="E343" s="1"/>
      <c r="F343" s="1"/>
      <c r="G343" s="1"/>
      <c r="H343" s="4"/>
    </row>
    <row x14ac:dyDescent="0.25" r="344" customHeight="1" ht="18.75">
      <c r="A344" s="1"/>
      <c r="B344" s="1"/>
      <c r="C344" s="2"/>
      <c r="D344" s="2"/>
      <c r="E344" s="1"/>
      <c r="F344" s="1"/>
      <c r="G344" s="1"/>
      <c r="H344" s="4"/>
    </row>
    <row x14ac:dyDescent="0.25" r="345" customHeight="1" ht="18.75">
      <c r="A345" s="1"/>
      <c r="B345" s="1"/>
      <c r="C345" s="2"/>
      <c r="D345" s="2"/>
      <c r="E345" s="1"/>
      <c r="F345" s="1"/>
      <c r="G345" s="1"/>
      <c r="H345" s="4"/>
    </row>
    <row x14ac:dyDescent="0.25" r="346" customHeight="1" ht="18.75">
      <c r="A346" s="1"/>
      <c r="B346" s="1"/>
      <c r="C346" s="2"/>
      <c r="D346" s="2"/>
      <c r="E346" s="1"/>
      <c r="F346" s="1"/>
      <c r="G346" s="1"/>
      <c r="H346" s="4"/>
    </row>
    <row x14ac:dyDescent="0.25" r="347" customHeight="1" ht="18.75">
      <c r="A347" s="1"/>
      <c r="B347" s="1"/>
      <c r="C347" s="2"/>
      <c r="D347" s="2"/>
      <c r="E347" s="1"/>
      <c r="F347" s="1"/>
      <c r="G347" s="1"/>
      <c r="H347" s="4"/>
    </row>
    <row x14ac:dyDescent="0.25" r="348" customHeight="1" ht="18.75">
      <c r="A348" s="1"/>
      <c r="B348" s="1"/>
      <c r="C348" s="2"/>
      <c r="D348" s="2"/>
      <c r="E348" s="1"/>
      <c r="F348" s="1"/>
      <c r="G348" s="1"/>
      <c r="H348" s="4"/>
    </row>
    <row x14ac:dyDescent="0.25" r="349" customHeight="1" ht="18.75">
      <c r="A349" s="1"/>
      <c r="B349" s="1"/>
      <c r="C349" s="2"/>
      <c r="D349" s="2"/>
      <c r="E349" s="1"/>
      <c r="F349" s="1"/>
      <c r="G349" s="1"/>
      <c r="H349" s="4"/>
    </row>
    <row x14ac:dyDescent="0.25" r="350" customHeight="1" ht="18.75">
      <c r="A350" s="1"/>
      <c r="B350" s="1"/>
      <c r="C350" s="2"/>
      <c r="D350" s="2"/>
      <c r="E350" s="1"/>
      <c r="F350" s="1"/>
      <c r="G350" s="1"/>
      <c r="H350" s="4"/>
    </row>
    <row x14ac:dyDescent="0.25" r="351" customHeight="1" ht="18.75">
      <c r="A351" s="1"/>
      <c r="B351" s="1"/>
      <c r="C351" s="2"/>
      <c r="D351" s="2"/>
      <c r="E351" s="1"/>
      <c r="F351" s="1"/>
      <c r="G351" s="1"/>
      <c r="H351" s="4"/>
    </row>
    <row x14ac:dyDescent="0.25" r="352" customHeight="1" ht="18.75">
      <c r="A352" s="1"/>
      <c r="B352" s="1"/>
      <c r="C352" s="2"/>
      <c r="D352" s="2"/>
      <c r="E352" s="1"/>
      <c r="F352" s="1"/>
      <c r="G352" s="1"/>
      <c r="H352" s="4"/>
    </row>
    <row x14ac:dyDescent="0.25" r="353" customHeight="1" ht="18.75">
      <c r="A353" s="1"/>
      <c r="B353" s="1"/>
      <c r="C353" s="2"/>
      <c r="D353" s="2"/>
      <c r="E353" s="1"/>
      <c r="F353" s="1"/>
      <c r="G353" s="1"/>
      <c r="H353" s="4"/>
    </row>
    <row x14ac:dyDescent="0.25" r="354" customHeight="1" ht="18.75">
      <c r="A354" s="1"/>
      <c r="B354" s="1"/>
      <c r="C354" s="2"/>
      <c r="D354" s="2"/>
      <c r="E354" s="1"/>
      <c r="F354" s="1"/>
      <c r="G354" s="1"/>
      <c r="H354" s="4"/>
    </row>
    <row x14ac:dyDescent="0.25" r="355" customHeight="1" ht="18.75">
      <c r="A355" s="1"/>
      <c r="B355" s="1"/>
      <c r="C355" s="2"/>
      <c r="D355" s="2"/>
      <c r="E355" s="1"/>
      <c r="F355" s="1"/>
      <c r="G355" s="1"/>
      <c r="H355" s="4"/>
    </row>
    <row x14ac:dyDescent="0.25" r="356" customHeight="1" ht="18.75">
      <c r="A356" s="1"/>
      <c r="B356" s="1"/>
      <c r="C356" s="2"/>
      <c r="D356" s="2"/>
      <c r="E356" s="1"/>
      <c r="F356" s="1"/>
      <c r="G356" s="1"/>
      <c r="H356" s="4"/>
    </row>
    <row x14ac:dyDescent="0.25" r="357" customHeight="1" ht="18.75">
      <c r="A357" s="1"/>
      <c r="B357" s="1"/>
      <c r="C357" s="2"/>
      <c r="D357" s="2"/>
      <c r="E357" s="1"/>
      <c r="F357" s="1"/>
      <c r="G357" s="1"/>
      <c r="H357" s="4"/>
    </row>
    <row x14ac:dyDescent="0.25" r="358" customHeight="1" ht="18.75">
      <c r="A358" s="1"/>
      <c r="B358" s="1"/>
      <c r="C358" s="2"/>
      <c r="D358" s="2"/>
      <c r="E358" s="1"/>
      <c r="F358" s="1"/>
      <c r="G358" s="1"/>
      <c r="H358" s="4"/>
    </row>
    <row x14ac:dyDescent="0.25" r="359" customHeight="1" ht="18.75">
      <c r="A359" s="1"/>
      <c r="B359" s="1"/>
      <c r="C359" s="2"/>
      <c r="D359" s="2"/>
      <c r="E359" s="1"/>
      <c r="F359" s="1"/>
      <c r="G359" s="1"/>
      <c r="H359" s="4"/>
    </row>
    <row x14ac:dyDescent="0.25" r="360" customHeight="1" ht="18.75">
      <c r="A360" s="1"/>
      <c r="B360" s="1"/>
      <c r="C360" s="2"/>
      <c r="D360" s="2"/>
      <c r="E360" s="1"/>
      <c r="F360" s="1"/>
      <c r="G360" s="1"/>
      <c r="H360" s="4"/>
    </row>
    <row x14ac:dyDescent="0.25" r="361" customHeight="1" ht="18.75">
      <c r="A361" s="1"/>
      <c r="B361" s="1"/>
      <c r="C361" s="2"/>
      <c r="D361" s="2"/>
      <c r="E361" s="1"/>
      <c r="F361" s="1"/>
      <c r="G361" s="1"/>
      <c r="H361" s="4"/>
    </row>
    <row x14ac:dyDescent="0.25" r="362" customHeight="1" ht="18.75">
      <c r="A362" s="1"/>
      <c r="B362" s="1"/>
      <c r="C362" s="2"/>
      <c r="D362" s="2"/>
      <c r="E362" s="1"/>
      <c r="F362" s="1"/>
      <c r="G362" s="1"/>
      <c r="H362" s="4"/>
    </row>
    <row x14ac:dyDescent="0.25" r="363" customHeight="1" ht="18.75">
      <c r="A363" s="1"/>
      <c r="B363" s="1"/>
      <c r="C363" s="2"/>
      <c r="D363" s="2"/>
      <c r="E363" s="1"/>
      <c r="F363" s="1"/>
      <c r="G363" s="1"/>
      <c r="H363" s="4"/>
    </row>
    <row x14ac:dyDescent="0.25" r="364" customHeight="1" ht="18.75">
      <c r="A364" s="1"/>
      <c r="B364" s="1"/>
      <c r="C364" s="2"/>
      <c r="D364" s="2"/>
      <c r="E364" s="1"/>
      <c r="F364" s="1"/>
      <c r="G364" s="1"/>
      <c r="H364" s="4"/>
    </row>
    <row x14ac:dyDescent="0.25" r="365" customHeight="1" ht="18.75">
      <c r="A365" s="1"/>
      <c r="B365" s="1"/>
      <c r="C365" s="2"/>
      <c r="D365" s="2"/>
      <c r="E365" s="1"/>
      <c r="F365" s="1"/>
      <c r="G365" s="1"/>
      <c r="H365" s="4"/>
    </row>
    <row x14ac:dyDescent="0.25" r="366" customHeight="1" ht="18.75">
      <c r="A366" s="1"/>
      <c r="B366" s="1"/>
      <c r="C366" s="2"/>
      <c r="D366" s="2"/>
      <c r="E366" s="1"/>
      <c r="F366" s="1"/>
      <c r="G366" s="1"/>
      <c r="H366" s="4"/>
    </row>
    <row x14ac:dyDescent="0.25" r="367" customHeight="1" ht="18.75">
      <c r="A367" s="1"/>
      <c r="B367" s="1"/>
      <c r="C367" s="2"/>
      <c r="D367" s="2"/>
      <c r="E367" s="1"/>
      <c r="F367" s="1"/>
      <c r="G367" s="1"/>
      <c r="H367" s="4"/>
    </row>
    <row x14ac:dyDescent="0.25" r="368" customHeight="1" ht="18.75">
      <c r="A368" s="1"/>
      <c r="B368" s="1"/>
      <c r="C368" s="2"/>
      <c r="D368" s="2"/>
      <c r="E368" s="1"/>
      <c r="F368" s="1"/>
      <c r="G368" s="1"/>
      <c r="H368" s="4"/>
    </row>
    <row x14ac:dyDescent="0.25" r="369" customHeight="1" ht="18.75">
      <c r="A369" s="1"/>
      <c r="B369" s="1"/>
      <c r="C369" s="2"/>
      <c r="D369" s="2"/>
      <c r="E369" s="1"/>
      <c r="F369" s="1"/>
      <c r="G369" s="1"/>
      <c r="H369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6</vt:i4>
      </vt:variant>
    </vt:vector>
  </HeadingPairs>
  <TitlesOfParts>
    <vt:vector baseType="lpstr" size="6">
      <vt:lpstr>Registro de Operaciones</vt:lpstr>
      <vt:lpstr>BBVA SOLES</vt:lpstr>
      <vt:lpstr>BBVA DOLARES</vt:lpstr>
      <vt:lpstr>INDIVIDUALES</vt:lpstr>
      <vt:lpstr>BD</vt:lpstr>
      <vt:lpstr>Tabla 1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2026-08-18T20:47:20.848Z</dcterms:created>
  <dcterms:modified xsi:type="dcterms:W3CDTF">2026-08-18T20:47:20.848Z</dcterms:modified>
</cp:coreProperties>
</file>